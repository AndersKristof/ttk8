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\work\H25\konstruksjon-av-innebygde-systemer\"/>
    </mc:Choice>
  </mc:AlternateContent>
  <xr:revisionPtr revIDLastSave="0" documentId="13_ncr:1_{490E0718-FA40-4B25-8E49-A4D2D819BD9E}" xr6:coauthVersionLast="47" xr6:coauthVersionMax="47" xr10:uidLastSave="{00000000-0000-0000-0000-000000000000}"/>
  <bookViews>
    <workbookView xWindow="-110" yWindow="-110" windowWidth="22620" windowHeight="13500" activeTab="3" xr2:uid="{88374655-B4FF-47ED-8C62-5C3447431953}"/>
  </bookViews>
  <sheets>
    <sheet name="work-breakdown-structure" sheetId="2" r:id="rId1"/>
    <sheet name="plan-of-progress-initial" sheetId="1" r:id="rId2"/>
    <sheet name="plan-of-progress-1" sheetId="4" r:id="rId3"/>
    <sheet name="plan-of-progress-2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6" l="1"/>
  <c r="P55" i="6"/>
  <c r="O55" i="6"/>
  <c r="N55" i="6"/>
  <c r="M55" i="6"/>
  <c r="L55" i="6"/>
  <c r="K55" i="6"/>
  <c r="J55" i="6"/>
  <c r="I55" i="6"/>
  <c r="H55" i="6"/>
  <c r="G55" i="6"/>
  <c r="F55" i="6"/>
  <c r="E55" i="6"/>
  <c r="R54" i="6"/>
  <c r="R53" i="6"/>
  <c r="R52" i="6"/>
  <c r="R51" i="6"/>
  <c r="R50" i="6"/>
  <c r="R49" i="6"/>
  <c r="R48" i="6"/>
  <c r="R46" i="6"/>
  <c r="R45" i="6"/>
  <c r="R44" i="6"/>
  <c r="R43" i="6"/>
  <c r="R42" i="6"/>
  <c r="R41" i="6"/>
  <c r="R39" i="6"/>
  <c r="R38" i="6"/>
  <c r="R37" i="6"/>
  <c r="R36" i="6"/>
  <c r="R35" i="6"/>
  <c r="R34" i="6"/>
  <c r="R33" i="6"/>
  <c r="R32" i="6"/>
  <c r="R31" i="6"/>
  <c r="R30" i="6"/>
  <c r="R28" i="6"/>
  <c r="R27" i="6"/>
  <c r="R26" i="6"/>
  <c r="R25" i="6"/>
  <c r="R24" i="6"/>
  <c r="R22" i="6"/>
  <c r="R21" i="6"/>
  <c r="R19" i="6"/>
  <c r="R18" i="6"/>
  <c r="R17" i="6"/>
  <c r="R15" i="6"/>
  <c r="R14" i="6"/>
  <c r="R13" i="6"/>
  <c r="R11" i="6"/>
  <c r="R9" i="6"/>
  <c r="R8" i="6"/>
  <c r="R7" i="6"/>
  <c r="R6" i="6"/>
  <c r="R4" i="6"/>
  <c r="R3" i="6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R54" i="4"/>
  <c r="R53" i="4"/>
  <c r="R52" i="4"/>
  <c r="R51" i="4"/>
  <c r="R50" i="4"/>
  <c r="R49" i="4"/>
  <c r="R48" i="4"/>
  <c r="R46" i="4"/>
  <c r="R45" i="4"/>
  <c r="R44" i="4"/>
  <c r="R43" i="4"/>
  <c r="R42" i="4"/>
  <c r="R41" i="4"/>
  <c r="R39" i="4"/>
  <c r="R38" i="4"/>
  <c r="R37" i="4"/>
  <c r="R36" i="4"/>
  <c r="R35" i="4"/>
  <c r="R34" i="4"/>
  <c r="R33" i="4"/>
  <c r="R32" i="4"/>
  <c r="R31" i="4"/>
  <c r="R30" i="4"/>
  <c r="R28" i="4"/>
  <c r="R27" i="4"/>
  <c r="R26" i="4"/>
  <c r="R25" i="4"/>
  <c r="R24" i="4"/>
  <c r="R22" i="4"/>
  <c r="R21" i="4"/>
  <c r="R19" i="4"/>
  <c r="R18" i="4"/>
  <c r="R17" i="4"/>
  <c r="R15" i="4"/>
  <c r="R14" i="4"/>
  <c r="R13" i="4"/>
  <c r="R11" i="4"/>
  <c r="R9" i="4"/>
  <c r="R8" i="4"/>
  <c r="R7" i="4"/>
  <c r="R6" i="4"/>
  <c r="R4" i="4"/>
  <c r="R3" i="4"/>
  <c r="C54" i="2"/>
  <c r="D47" i="2"/>
  <c r="D40" i="2"/>
  <c r="D29" i="2"/>
  <c r="D23" i="2"/>
  <c r="E23" i="2" s="1"/>
  <c r="C23" i="2"/>
  <c r="D20" i="2"/>
  <c r="C20" i="2"/>
  <c r="D16" i="2"/>
  <c r="C16" i="2"/>
  <c r="D12" i="2"/>
  <c r="C12" i="2"/>
  <c r="D10" i="2"/>
  <c r="E10" i="2" s="1"/>
  <c r="D5" i="2"/>
  <c r="E5" i="2" s="1"/>
  <c r="D2" i="2"/>
  <c r="C2" i="2"/>
  <c r="C5" i="2"/>
  <c r="C10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E4" i="2"/>
  <c r="E3" i="2"/>
  <c r="C29" i="2"/>
  <c r="C47" i="2"/>
  <c r="C40" i="2"/>
  <c r="R27" i="1"/>
  <c r="R54" i="1"/>
  <c r="R53" i="1"/>
  <c r="R52" i="1"/>
  <c r="R51" i="1"/>
  <c r="R50" i="1"/>
  <c r="R49" i="1"/>
  <c r="R48" i="1"/>
  <c r="R46" i="1"/>
  <c r="R45" i="1"/>
  <c r="R44" i="1"/>
  <c r="R43" i="1"/>
  <c r="R42" i="1"/>
  <c r="R41" i="1"/>
  <c r="R39" i="1"/>
  <c r="R38" i="1"/>
  <c r="R37" i="1"/>
  <c r="R36" i="1"/>
  <c r="R35" i="1"/>
  <c r="R34" i="1"/>
  <c r="R33" i="1"/>
  <c r="R32" i="1"/>
  <c r="R31" i="1"/>
  <c r="R30" i="1"/>
  <c r="R28" i="1"/>
  <c r="R26" i="1"/>
  <c r="R25" i="1"/>
  <c r="R24" i="1"/>
  <c r="R22" i="1"/>
  <c r="R21" i="1"/>
  <c r="R19" i="1"/>
  <c r="R18" i="1"/>
  <c r="R17" i="1"/>
  <c r="R15" i="1"/>
  <c r="R14" i="1"/>
  <c r="R13" i="1"/>
  <c r="R11" i="1"/>
  <c r="R9" i="1"/>
  <c r="R8" i="1"/>
  <c r="R7" i="1"/>
  <c r="R6" i="1"/>
  <c r="R4" i="1"/>
  <c r="R3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4" i="2" l="1"/>
  <c r="E54" i="2" s="1"/>
  <c r="R55" i="6"/>
  <c r="E29" i="2"/>
  <c r="R55" i="4"/>
  <c r="E2" i="2"/>
  <c r="R55" i="1"/>
</calcChain>
</file>

<file path=xl/sharedStrings.xml><?xml version="1.0" encoding="utf-8"?>
<sst xmlns="http://schemas.openxmlformats.org/spreadsheetml/2006/main" count="529" uniqueCount="115">
  <si>
    <t>WBS_ID</t>
  </si>
  <si>
    <t>Title</t>
  </si>
  <si>
    <t>Phase</t>
  </si>
  <si>
    <t>Dependencies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</si>
  <si>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</si>
  <si>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</si>
  <si>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</si>
  <si>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</si>
  <si>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</si>
  <si>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</si>
  <si>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</si>
  <si>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</si>
  <si>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</si>
  <si>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</si>
  <si>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</si>
  <si>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</si>
  <si>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</si>
  <si>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Project Management and Planning</t>
  </si>
  <si>
    <t>Planning</t>
  </si>
  <si>
    <t>Scope Definition</t>
  </si>
  <si>
    <t>Schedule and Task Tracking</t>
  </si>
  <si>
    <t>Requirements and System Design</t>
  </si>
  <si>
    <t>Design</t>
  </si>
  <si>
    <t>Functional Requirements Specification</t>
  </si>
  <si>
    <t>System Architecture Diagram</t>
  </si>
  <si>
    <t>Component Selection and Procurement</t>
  </si>
  <si>
    <t>Soil Moisture Sensor Research and Calibration Plan</t>
  </si>
  <si>
    <t>Hardware Subsystem</t>
  </si>
  <si>
    <t>Hardware</t>
  </si>
  <si>
    <t>Prototyping Environment Setup</t>
  </si>
  <si>
    <t>Soil Moisture Sensor Integration</t>
  </si>
  <si>
    <t>3.2.1</t>
  </si>
  <si>
    <t>Raw Reading Acquisition</t>
  </si>
  <si>
    <t>3.2.2</t>
  </si>
  <si>
    <t>Calibration</t>
  </si>
  <si>
    <t>3.2.3</t>
  </si>
  <si>
    <t>Noise Filtering</t>
  </si>
  <si>
    <t>Pump / Valve Subsystem</t>
  </si>
  <si>
    <t>3.3.1</t>
  </si>
  <si>
    <t>Driver Circuit</t>
  </si>
  <si>
    <t>3.3.2</t>
  </si>
  <si>
    <t>Power Path and Protection</t>
  </si>
  <si>
    <t>3.3.3</t>
  </si>
  <si>
    <t>Flow Testing and Rate Characterization</t>
  </si>
  <si>
    <t>Tubing and Reservoir Mechanics</t>
  </si>
  <si>
    <t>3.4.1</t>
  </si>
  <si>
    <t>Physical Layout Design</t>
  </si>
  <si>
    <t>3.4.2</t>
  </si>
  <si>
    <t>Leak and Flow Stability Tests</t>
  </si>
  <si>
    <t>Power Supply</t>
  </si>
  <si>
    <t>3.5.1</t>
  </si>
  <si>
    <t>Power Budget Estimation</t>
  </si>
  <si>
    <t>3.5.2</t>
  </si>
  <si>
    <t>Supply Implementation</t>
  </si>
  <si>
    <t>3.5.3</t>
  </si>
  <si>
    <t>Brownout / Safety Validation</t>
  </si>
  <si>
    <t>Hardware Assembly V1</t>
  </si>
  <si>
    <t>Hardware Refinement V2</t>
  </si>
  <si>
    <t>Integration</t>
  </si>
  <si>
    <t>Software Subsystem</t>
  </si>
  <si>
    <t>Software</t>
  </si>
  <si>
    <t>Development Environment Setup</t>
  </si>
  <si>
    <t>Sensor Driver Module</t>
  </si>
  <si>
    <t>Moisture Data Processing</t>
  </si>
  <si>
    <t>Control Logic</t>
  </si>
  <si>
    <t>Actuator Control Module</t>
  </si>
  <si>
    <t>Data Logging</t>
  </si>
  <si>
    <t>User Interface / Status Output</t>
  </si>
  <si>
    <t>Configuration Parameters</t>
  </si>
  <si>
    <t>Error Handling and Fail-Safes</t>
  </si>
  <si>
    <t>4.5|4.8</t>
  </si>
  <si>
    <t>Code Documentation (Initial)</t>
  </si>
  <si>
    <t>Integration and Testing</t>
  </si>
  <si>
    <t>Hardware-Software Bring-up</t>
  </si>
  <si>
    <t>3.6|4.5</t>
  </si>
  <si>
    <t>Calibration Procedure Execution</t>
  </si>
  <si>
    <t>5.1|3.2.2</t>
  </si>
  <si>
    <t>Watering Decision Test</t>
  </si>
  <si>
    <t>Long-Run Stability Test</t>
  </si>
  <si>
    <t>Edge Case Tests</t>
  </si>
  <si>
    <t>Success Criteria Verification</t>
  </si>
  <si>
    <t>Documentation and Presentation</t>
  </si>
  <si>
    <t>Documentation</t>
  </si>
  <si>
    <t>Architecture and Design Report</t>
  </si>
  <si>
    <t>Calibration and Test Results Appendix</t>
  </si>
  <si>
    <t>User / Operation Guide</t>
  </si>
  <si>
    <t>Learning Reflection and Skill Development Summary</t>
  </si>
  <si>
    <t>Demonstration Prep</t>
  </si>
  <si>
    <t>6.2|6.3</t>
  </si>
  <si>
    <t>Final Submission</t>
  </si>
  <si>
    <t>4.10F</t>
  </si>
  <si>
    <t>Code Documentation (Final)</t>
  </si>
  <si>
    <t>4.10</t>
  </si>
  <si>
    <t>Total Hours</t>
  </si>
  <si>
    <t>Planned Hours</t>
  </si>
  <si>
    <t>Planned Effort</t>
  </si>
  <si>
    <t>Real Effort</t>
  </si>
  <si>
    <t>Degree og completion</t>
  </si>
  <si>
    <t>Code Documentation</t>
  </si>
  <si>
    <t>Building and Leak Testing</t>
  </si>
  <si>
    <t>Total</t>
  </si>
  <si>
    <t>3 | 4</t>
  </si>
  <si>
    <t>Week49</t>
  </si>
  <si>
    <t>Week48</t>
  </si>
  <si>
    <t>Week47</t>
  </si>
  <si>
    <t>Week46</t>
  </si>
  <si>
    <t>Week45</t>
  </si>
  <si>
    <t>Week44</t>
  </si>
  <si>
    <t>Week43</t>
  </si>
  <si>
    <t>Week42</t>
  </si>
  <si>
    <t>Week41</t>
  </si>
  <si>
    <t>Week40</t>
  </si>
  <si>
    <t>Week39</t>
  </si>
  <si>
    <t>Week38</t>
  </si>
  <si>
    <t>Week37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</si>
</sst>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16" fillId="0" borderId="0" xfId="0" applyNumberFormat="1" applyFont="1"/>
    <xf numFmtId="0" fontId="16" fillId="0" borderId="0" xfId="0" applyFont="1"/>
    <xf numFmtId="9" fontId="16" fillId="0" borderId="0" xfId="1" applyFont="1"/>
    <xf numFmtId="9" fontId="0" fillId="0" borderId="0" xfId="1" applyFont="1"/>
    <xf numFmtId="2" fontId="16" fillId="0" borderId="0" xfId="0" applyNumberFormat="1" applyFont="1"/>
    <xf numFmtId="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4A7E-7105-49C5-87C3-17E3D711999C}">
  <dimension ref="A1:E54"/>
  <sheetViews>
    <sheetView workbookViewId="0">
      <pane ySplit="1" topLeftCell="A29" activePane="bottomLeft" state="frozen"/>
      <selection pane="bottomLeft" activeCell="B46" sqref="B46"/>
    </sheetView>
  </sheetViews>
  <sheetFormatPr defaultRowHeight="14.5" x14ac:dyDescent="0.35"/>
  <cols>
    <col min="1" max="1" width="8.7265625" style="1"/>
    <col min="2" max="2" width="44.08984375" customWidth="1"/>
    <col min="3" max="3" width="13.81640625" customWidth="1"/>
    <col min="4" max="4" width="12.1796875" customWidth="1"/>
    <col min="5" max="5" width="18.90625" style="5" customWidth="1"/>
  </cols>
  <sheetData>
    <row r="1" spans="1:5" x14ac:dyDescent="0.35">
      <c r="A1" s="2" t="s">
        <v>0</v>
      </c>
      <c r="B1" s="3" t="s">
        <v>1</v>
      </c>
      <c r="C1" s="3" t="s">
        <v>95</v>
      </c>
      <c r="D1" s="3" t="s">
        <v>96</v>
      </c>
      <c r="E1" s="4" t="s">
        <v>97</v>
      </c>
    </row>
    <row r="2" spans="1:5" s="3" customFormat="1" x14ac:dyDescent="0.35">
      <c r="A2" s="2">
        <v>1</v>
      </c>
      <c r="B2" s="3" t="s">
        <v>17</v>
      </c>
      <c r="C2" s="3">
        <f>SUM(C3:C4)</f>
        <v>4</v>
      </c>
      <c r="D2" s="3">
        <f>SUM(D3:D4)</f>
        <v>4</v>
      </c>
      <c r="E2" s="4">
        <f>D2/C2</f>
        <v>1</v>
      </c>
    </row>
    <row r="3" spans="1:5" x14ac:dyDescent="0.35">
      <c r="A3" s="1">
        <v>1.1000000000000001</v>
      </c>
      <c r="B3" t="s">
        <v>19</v>
      </c>
      <c r="C3">
        <v>2</v>
      </c>
      <c r="D3">
        <v>2</v>
      </c>
      <c r="E3" s="5">
        <f t="shared" ref="E3:E54" si="0">D3/C3</f>
        <v>1</v>
      </c>
    </row>
    <row r="4" spans="1:5" x14ac:dyDescent="0.35">
      <c r="A4" s="1">
        <v>1.2</v>
      </c>
      <c r="B4" t="s">
        <v>20</v>
      </c>
      <c r="C4">
        <v>2</v>
      </c>
      <c r="D4">
        <v>2</v>
      </c>
      <c r="E4" s="5">
        <f t="shared" si="0"/>
        <v>1</v>
      </c>
    </row>
    <row r="5" spans="1:5" s="3" customFormat="1" x14ac:dyDescent="0.35">
      <c r="A5" s="2">
        <v>2</v>
      </c>
      <c r="B5" s="3" t="s">
        <v>21</v>
      </c>
      <c r="C5" s="3">
        <f>SUM(C6:C9)</f>
        <v>12</v>
      </c>
      <c r="D5" s="3">
        <f>SUM(D6:D9)</f>
        <v>12</v>
      </c>
      <c r="E5" s="4">
        <f t="shared" si="0"/>
        <v>1</v>
      </c>
    </row>
    <row r="6" spans="1:5" x14ac:dyDescent="0.35">
      <c r="A6" s="1">
        <v>2.1</v>
      </c>
      <c r="B6" t="s">
        <v>23</v>
      </c>
      <c r="C6">
        <v>3</v>
      </c>
      <c r="D6">
        <v>3</v>
      </c>
      <c r="E6" s="5">
        <f t="shared" si="0"/>
        <v>1</v>
      </c>
    </row>
    <row r="7" spans="1:5" x14ac:dyDescent="0.35">
      <c r="A7" s="1">
        <v>2.2000000000000002</v>
      </c>
      <c r="B7" t="s">
        <v>24</v>
      </c>
      <c r="C7">
        <v>3</v>
      </c>
      <c r="D7">
        <v>3</v>
      </c>
      <c r="E7" s="5">
        <f t="shared" si="0"/>
        <v>1</v>
      </c>
    </row>
    <row r="8" spans="1:5" x14ac:dyDescent="0.35">
      <c r="A8" s="1">
        <v>2.2999999999999998</v>
      </c>
      <c r="B8" t="s">
        <v>25</v>
      </c>
      <c r="C8">
        <v>3</v>
      </c>
      <c r="D8">
        <v>3</v>
      </c>
      <c r="E8" s="5">
        <f t="shared" si="0"/>
        <v>1</v>
      </c>
    </row>
    <row r="9" spans="1:5" x14ac:dyDescent="0.35">
      <c r="A9" s="1">
        <v>2.4</v>
      </c>
      <c r="B9" t="s">
        <v>26</v>
      </c>
      <c r="C9">
        <v>3</v>
      </c>
      <c r="D9">
        <v>3</v>
      </c>
      <c r="E9" s="5">
        <f t="shared" si="0"/>
        <v>1</v>
      </c>
    </row>
    <row r="10" spans="1:5" s="3" customFormat="1" x14ac:dyDescent="0.35">
      <c r="A10" s="2">
        <v>3</v>
      </c>
      <c r="B10" s="3" t="s">
        <v>27</v>
      </c>
      <c r="C10" s="3">
        <f>SUM(C11,C13,C14,C15,C17,C18,C19,C21,C22,C24,C25,C26,C27,C28)</f>
        <v>31</v>
      </c>
      <c r="D10" s="3">
        <f>SUM(D11,D13,D14,D15,D17,D18,D19,D21,D22,D24,D25,D26,D27,D28)</f>
        <v>5</v>
      </c>
      <c r="E10" s="4">
        <f t="shared" si="0"/>
        <v>0.16129032258064516</v>
      </c>
    </row>
    <row r="11" spans="1:5" x14ac:dyDescent="0.35">
      <c r="A11" s="1">
        <v>3.1</v>
      </c>
      <c r="B11" t="s">
        <v>29</v>
      </c>
      <c r="C11">
        <v>2</v>
      </c>
      <c r="D11">
        <v>1</v>
      </c>
      <c r="E11" s="5">
        <f t="shared" si="0"/>
        <v>0.5</v>
      </c>
    </row>
    <row r="12" spans="1:5" s="3" customFormat="1" x14ac:dyDescent="0.35">
      <c r="A12" s="2">
        <v>3.2</v>
      </c>
      <c r="B12" s="3" t="s">
        <v>30</v>
      </c>
      <c r="C12" s="3">
        <f>SUM(C13:C15)</f>
        <v>4</v>
      </c>
      <c r="D12" s="3">
        <f>SUM(D13:D15)</f>
        <v>0</v>
      </c>
      <c r="E12" s="4">
        <f t="shared" si="0"/>
        <v>0</v>
      </c>
    </row>
    <row r="13" spans="1:5" x14ac:dyDescent="0.35">
      <c r="A13" s="1" t="s">
        <v>31</v>
      </c>
      <c r="B13" t="s">
        <v>32</v>
      </c>
      <c r="C13">
        <v>2</v>
      </c>
      <c r="E13" s="5">
        <f t="shared" si="0"/>
        <v>0</v>
      </c>
    </row>
    <row r="14" spans="1:5" x14ac:dyDescent="0.35">
      <c r="A14" s="1" t="s">
        <v>33</v>
      </c>
      <c r="B14" t="s">
        <v>34</v>
      </c>
      <c r="C14">
        <v>1</v>
      </c>
      <c r="E14" s="5">
        <f t="shared" si="0"/>
        <v>0</v>
      </c>
    </row>
    <row r="15" spans="1:5" x14ac:dyDescent="0.35">
      <c r="A15" s="1" t="s">
        <v>35</v>
      </c>
      <c r="B15" t="s">
        <v>36</v>
      </c>
      <c r="C15">
        <v>1</v>
      </c>
      <c r="E15" s="5">
        <f t="shared" si="0"/>
        <v>0</v>
      </c>
    </row>
    <row r="16" spans="1:5" s="3" customFormat="1" x14ac:dyDescent="0.35">
      <c r="A16" s="2">
        <v>3.3</v>
      </c>
      <c r="B16" s="3" t="s">
        <v>37</v>
      </c>
      <c r="C16" s="3">
        <f>SUM(C17:C19)</f>
        <v>6</v>
      </c>
      <c r="D16" s="3">
        <f>SUM(D17:D19)</f>
        <v>0</v>
      </c>
      <c r="E16" s="4">
        <f t="shared" si="0"/>
        <v>0</v>
      </c>
    </row>
    <row r="17" spans="1:5" x14ac:dyDescent="0.35">
      <c r="A17" s="1" t="s">
        <v>38</v>
      </c>
      <c r="B17" t="s">
        <v>39</v>
      </c>
      <c r="C17">
        <v>2</v>
      </c>
      <c r="E17" s="5">
        <f t="shared" si="0"/>
        <v>0</v>
      </c>
    </row>
    <row r="18" spans="1:5" x14ac:dyDescent="0.35">
      <c r="A18" s="1" t="s">
        <v>40</v>
      </c>
      <c r="B18" t="s">
        <v>41</v>
      </c>
      <c r="C18">
        <v>2</v>
      </c>
      <c r="E18" s="5">
        <f t="shared" si="0"/>
        <v>0</v>
      </c>
    </row>
    <row r="19" spans="1:5" x14ac:dyDescent="0.35">
      <c r="A19" s="1" t="s">
        <v>42</v>
      </c>
      <c r="B19" t="s">
        <v>43</v>
      </c>
      <c r="C19">
        <v>2</v>
      </c>
      <c r="E19" s="5">
        <f t="shared" si="0"/>
        <v>0</v>
      </c>
    </row>
    <row r="20" spans="1:5" s="3" customFormat="1" x14ac:dyDescent="0.35">
      <c r="A20" s="2">
        <v>3.4</v>
      </c>
      <c r="B20" s="3" t="s">
        <v>44</v>
      </c>
      <c r="C20" s="3">
        <f>SUM(C21:C22)</f>
        <v>4</v>
      </c>
      <c r="D20" s="3">
        <f>SUM(D21:D22)</f>
        <v>0</v>
      </c>
      <c r="E20" s="4">
        <f t="shared" si="0"/>
        <v>0</v>
      </c>
    </row>
    <row r="21" spans="1:5" x14ac:dyDescent="0.35">
      <c r="A21" s="1" t="s">
        <v>45</v>
      </c>
      <c r="B21" t="s">
        <v>46</v>
      </c>
      <c r="C21">
        <v>1</v>
      </c>
      <c r="E21" s="5">
        <f t="shared" si="0"/>
        <v>0</v>
      </c>
    </row>
    <row r="22" spans="1:5" x14ac:dyDescent="0.35">
      <c r="A22" s="1" t="s">
        <v>47</v>
      </c>
      <c r="B22" t="s">
        <v>99</v>
      </c>
      <c r="C22">
        <v>3</v>
      </c>
      <c r="E22" s="5">
        <f t="shared" si="0"/>
        <v>0</v>
      </c>
    </row>
    <row r="23" spans="1:5" s="3" customFormat="1" x14ac:dyDescent="0.35">
      <c r="A23" s="2">
        <v>3.5</v>
      </c>
      <c r="B23" s="3" t="s">
        <v>49</v>
      </c>
      <c r="C23" s="3">
        <f>SUM(C24:C26)</f>
        <v>5</v>
      </c>
      <c r="D23" s="3">
        <f>SUM(D24:D26)</f>
        <v>4</v>
      </c>
      <c r="E23" s="4">
        <f t="shared" si="0"/>
        <v>0.8</v>
      </c>
    </row>
    <row r="24" spans="1:5" x14ac:dyDescent="0.35">
      <c r="A24" s="1" t="s">
        <v>50</v>
      </c>
      <c r="B24" t="s">
        <v>51</v>
      </c>
      <c r="C24">
        <v>1</v>
      </c>
      <c r="D24">
        <v>1</v>
      </c>
      <c r="E24" s="5">
        <f t="shared" si="0"/>
        <v>1</v>
      </c>
    </row>
    <row r="25" spans="1:5" x14ac:dyDescent="0.35">
      <c r="A25" s="1" t="s">
        <v>52</v>
      </c>
      <c r="B25" t="s">
        <v>53</v>
      </c>
      <c r="C25">
        <v>2</v>
      </c>
      <c r="D25">
        <v>2</v>
      </c>
      <c r="E25" s="5">
        <f t="shared" si="0"/>
        <v>1</v>
      </c>
    </row>
    <row r="26" spans="1:5" x14ac:dyDescent="0.35">
      <c r="A26" s="1" t="s">
        <v>54</v>
      </c>
      <c r="B26" t="s">
        <v>55</v>
      </c>
      <c r="C26">
        <v>2</v>
      </c>
      <c r="D26">
        <v>1</v>
      </c>
      <c r="E26" s="5">
        <f t="shared" si="0"/>
        <v>0.5</v>
      </c>
    </row>
    <row r="27" spans="1:5" x14ac:dyDescent="0.35">
      <c r="A27" s="1">
        <v>3.6</v>
      </c>
      <c r="B27" t="s">
        <v>56</v>
      </c>
      <c r="C27">
        <v>5</v>
      </c>
      <c r="E27" s="5">
        <f t="shared" si="0"/>
        <v>0</v>
      </c>
    </row>
    <row r="28" spans="1:5" x14ac:dyDescent="0.35">
      <c r="A28" s="1">
        <v>3.7</v>
      </c>
      <c r="B28" t="s">
        <v>57</v>
      </c>
      <c r="C28">
        <v>5</v>
      </c>
      <c r="E28" s="5">
        <f t="shared" si="0"/>
        <v>0</v>
      </c>
    </row>
    <row r="29" spans="1:5" s="3" customFormat="1" x14ac:dyDescent="0.35">
      <c r="A29" s="2">
        <v>4</v>
      </c>
      <c r="B29" s="3" t="s">
        <v>59</v>
      </c>
      <c r="C29" s="3">
        <f>SUM(C30:C39)</f>
        <v>21</v>
      </c>
      <c r="D29" s="3">
        <f>SUM(D30:D39)</f>
        <v>2</v>
      </c>
      <c r="E29" s="4">
        <f t="shared" si="0"/>
        <v>9.5238095238095233E-2</v>
      </c>
    </row>
    <row r="30" spans="1:5" x14ac:dyDescent="0.35">
      <c r="A30" s="1">
        <v>4.0999999999999996</v>
      </c>
      <c r="B30" t="s">
        <v>61</v>
      </c>
      <c r="C30">
        <v>1</v>
      </c>
      <c r="D30">
        <v>1</v>
      </c>
      <c r="E30" s="5">
        <f t="shared" si="0"/>
        <v>1</v>
      </c>
    </row>
    <row r="31" spans="1:5" x14ac:dyDescent="0.35">
      <c r="A31" s="1">
        <v>4.2</v>
      </c>
      <c r="B31" t="s">
        <v>62</v>
      </c>
      <c r="C31">
        <v>3</v>
      </c>
      <c r="E31" s="5">
        <f t="shared" si="0"/>
        <v>0</v>
      </c>
    </row>
    <row r="32" spans="1:5" x14ac:dyDescent="0.35">
      <c r="A32" s="1">
        <v>4.3</v>
      </c>
      <c r="B32" t="s">
        <v>63</v>
      </c>
      <c r="C32">
        <v>3</v>
      </c>
      <c r="E32" s="5">
        <f t="shared" si="0"/>
        <v>0</v>
      </c>
    </row>
    <row r="33" spans="1:5" x14ac:dyDescent="0.35">
      <c r="A33" s="1">
        <v>4.4000000000000004</v>
      </c>
      <c r="B33" t="s">
        <v>64</v>
      </c>
      <c r="C33">
        <v>4</v>
      </c>
      <c r="D33">
        <v>1</v>
      </c>
      <c r="E33" s="5">
        <f t="shared" si="0"/>
        <v>0.25</v>
      </c>
    </row>
    <row r="34" spans="1:5" x14ac:dyDescent="0.35">
      <c r="A34" s="1">
        <v>4.5</v>
      </c>
      <c r="B34" t="s">
        <v>65</v>
      </c>
      <c r="C34">
        <v>3</v>
      </c>
      <c r="E34" s="5">
        <f t="shared" si="0"/>
        <v>0</v>
      </c>
    </row>
    <row r="35" spans="1:5" x14ac:dyDescent="0.35">
      <c r="A35" s="1">
        <v>4.5999999999999996</v>
      </c>
      <c r="B35" t="s">
        <v>66</v>
      </c>
      <c r="C35">
        <v>1</v>
      </c>
      <c r="E35" s="5">
        <f t="shared" si="0"/>
        <v>0</v>
      </c>
    </row>
    <row r="36" spans="1:5" x14ac:dyDescent="0.35">
      <c r="A36" s="1">
        <v>4.7</v>
      </c>
      <c r="B36" t="s">
        <v>67</v>
      </c>
      <c r="C36">
        <v>1</v>
      </c>
      <c r="E36" s="5">
        <f t="shared" si="0"/>
        <v>0</v>
      </c>
    </row>
    <row r="37" spans="1:5" x14ac:dyDescent="0.35">
      <c r="A37" s="1">
        <v>4.8</v>
      </c>
      <c r="B37" t="s">
        <v>68</v>
      </c>
      <c r="C37">
        <v>1</v>
      </c>
      <c r="E37" s="5">
        <f t="shared" si="0"/>
        <v>0</v>
      </c>
    </row>
    <row r="38" spans="1:5" x14ac:dyDescent="0.35">
      <c r="A38" s="1">
        <v>4.9000000000000004</v>
      </c>
      <c r="B38" t="s">
        <v>69</v>
      </c>
      <c r="C38">
        <v>2</v>
      </c>
      <c r="E38" s="5">
        <f t="shared" si="0"/>
        <v>0</v>
      </c>
    </row>
    <row r="39" spans="1:5" x14ac:dyDescent="0.35">
      <c r="A39" s="1" t="s">
        <v>92</v>
      </c>
      <c r="B39" t="s">
        <v>98</v>
      </c>
      <c r="C39">
        <v>2</v>
      </c>
      <c r="E39" s="5">
        <f t="shared" si="0"/>
        <v>0</v>
      </c>
    </row>
    <row r="40" spans="1:5" s="3" customFormat="1" x14ac:dyDescent="0.35">
      <c r="A40" s="2">
        <v>5</v>
      </c>
      <c r="B40" s="3" t="s">
        <v>72</v>
      </c>
      <c r="C40" s="3">
        <f>SUM(C41:C46)</f>
        <v>10</v>
      </c>
      <c r="D40" s="3">
        <f>SUM(D41:D46)</f>
        <v>0</v>
      </c>
      <c r="E40" s="4">
        <f t="shared" si="0"/>
        <v>0</v>
      </c>
    </row>
    <row r="41" spans="1:5" x14ac:dyDescent="0.35">
      <c r="A41" s="1">
        <v>5.0999999999999996</v>
      </c>
      <c r="B41" t="s">
        <v>73</v>
      </c>
      <c r="C41">
        <v>2</v>
      </c>
      <c r="E41" s="5">
        <f t="shared" si="0"/>
        <v>0</v>
      </c>
    </row>
    <row r="42" spans="1:5" x14ac:dyDescent="0.35">
      <c r="A42" s="1">
        <v>5.2</v>
      </c>
      <c r="B42" t="s">
        <v>75</v>
      </c>
      <c r="C42">
        <v>1</v>
      </c>
      <c r="E42" s="5">
        <f t="shared" si="0"/>
        <v>0</v>
      </c>
    </row>
    <row r="43" spans="1:5" x14ac:dyDescent="0.35">
      <c r="A43" s="1">
        <v>5.3</v>
      </c>
      <c r="B43" t="s">
        <v>77</v>
      </c>
      <c r="C43">
        <v>2</v>
      </c>
      <c r="E43" s="5">
        <f t="shared" si="0"/>
        <v>0</v>
      </c>
    </row>
    <row r="44" spans="1:5" x14ac:dyDescent="0.35">
      <c r="A44" s="1">
        <v>5.4</v>
      </c>
      <c r="B44" t="s">
        <v>78</v>
      </c>
      <c r="C44">
        <v>1</v>
      </c>
      <c r="E44" s="5">
        <f t="shared" si="0"/>
        <v>0</v>
      </c>
    </row>
    <row r="45" spans="1:5" x14ac:dyDescent="0.35">
      <c r="A45" s="1">
        <v>5.5</v>
      </c>
      <c r="B45" t="s">
        <v>79</v>
      </c>
      <c r="C45">
        <v>2</v>
      </c>
      <c r="E45" s="5">
        <f t="shared" si="0"/>
        <v>0</v>
      </c>
    </row>
    <row r="46" spans="1:5" x14ac:dyDescent="0.35">
      <c r="A46" s="1">
        <v>5.6</v>
      </c>
      <c r="B46" t="s">
        <v>80</v>
      </c>
      <c r="C46">
        <v>2</v>
      </c>
      <c r="E46" s="5">
        <f t="shared" si="0"/>
        <v>0</v>
      </c>
    </row>
    <row r="47" spans="1:5" s="3" customFormat="1" x14ac:dyDescent="0.35">
      <c r="A47" s="2">
        <v>6</v>
      </c>
      <c r="B47" s="3" t="s">
        <v>81</v>
      </c>
      <c r="C47" s="3">
        <f>SUM(C48:C53)</f>
        <v>18</v>
      </c>
      <c r="D47" s="3">
        <f>SUM(D48:D53)</f>
        <v>0</v>
      </c>
      <c r="E47" s="4">
        <f t="shared" si="0"/>
        <v>0</v>
      </c>
    </row>
    <row r="48" spans="1:5" x14ac:dyDescent="0.35">
      <c r="A48" s="1">
        <v>6.1</v>
      </c>
      <c r="B48" t="s">
        <v>83</v>
      </c>
      <c r="C48">
        <v>2</v>
      </c>
      <c r="E48" s="5">
        <f t="shared" si="0"/>
        <v>0</v>
      </c>
    </row>
    <row r="49" spans="1:5" x14ac:dyDescent="0.35">
      <c r="A49" s="1">
        <v>6.2</v>
      </c>
      <c r="B49" t="s">
        <v>84</v>
      </c>
      <c r="C49">
        <v>2</v>
      </c>
      <c r="E49" s="5">
        <f t="shared" si="0"/>
        <v>0</v>
      </c>
    </row>
    <row r="50" spans="1:5" x14ac:dyDescent="0.35">
      <c r="A50" s="1">
        <v>6.3</v>
      </c>
      <c r="B50" t="s">
        <v>85</v>
      </c>
      <c r="C50">
        <v>2</v>
      </c>
      <c r="E50" s="5">
        <f t="shared" si="0"/>
        <v>0</v>
      </c>
    </row>
    <row r="51" spans="1:5" x14ac:dyDescent="0.35">
      <c r="A51" s="1">
        <v>6.4</v>
      </c>
      <c r="B51" t="s">
        <v>86</v>
      </c>
      <c r="C51">
        <v>2</v>
      </c>
      <c r="E51" s="5">
        <f t="shared" si="0"/>
        <v>0</v>
      </c>
    </row>
    <row r="52" spans="1:5" x14ac:dyDescent="0.35">
      <c r="A52" s="1">
        <v>6.5</v>
      </c>
      <c r="B52" t="s">
        <v>87</v>
      </c>
      <c r="C52">
        <v>4</v>
      </c>
      <c r="E52" s="5">
        <f t="shared" si="0"/>
        <v>0</v>
      </c>
    </row>
    <row r="53" spans="1:5" x14ac:dyDescent="0.35">
      <c r="A53" s="1">
        <v>6.6</v>
      </c>
      <c r="B53" t="s">
        <v>89</v>
      </c>
      <c r="C53">
        <v>6</v>
      </c>
      <c r="E53" s="5">
        <f t="shared" si="0"/>
        <v>0</v>
      </c>
    </row>
    <row r="54" spans="1:5" s="3" customFormat="1" x14ac:dyDescent="0.35">
      <c r="A54" s="2"/>
      <c r="B54" s="3" t="s">
        <v>100</v>
      </c>
      <c r="C54" s="3">
        <f>SUM(C2,C5,C10,C29,C40,C47)</f>
        <v>96</v>
      </c>
      <c r="D54" s="3">
        <f>SUM(D2,D5,D10,D29,D40,D47)</f>
        <v>23</v>
      </c>
      <c r="E54" s="4">
        <f t="shared" si="0"/>
        <v>0.23958333333333334</v>
      </c>
    </row>
  </sheetData>
  <conditionalFormatting sqref="E2:E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6DA7-93E1-4DF7-B086-BB8643059489}">
  <dimension ref="A1:S55"/>
  <sheetViews>
    <sheetView zoomScale="80" zoomScaleNormal="80" workbookViewId="0">
      <pane xSplit="1" topLeftCell="B1" activePane="topRight" state="frozen"/>
      <selection pane="topRight" activeCell="B13" sqref="B13"/>
    </sheetView>
  </sheetViews>
  <sheetFormatPr defaultRowHeight="14.5" x14ac:dyDescent="0.35"/>
  <cols>
    <col min="1" max="1" width="8.7265625" style="1"/>
    <col min="2" max="2" width="42.7265625" customWidth="1"/>
    <col min="4" max="4" width="12.90625" style="1" customWidth="1"/>
    <col min="18" max="18" width="13.7265625" style="7" customWidth="1"/>
  </cols>
  <sheetData>
    <row r="1" spans="1:19" s="3" customForma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94</v>
      </c>
      <c r="S1" s="4"/>
    </row>
    <row r="2" spans="1:19" x14ac:dyDescent="0.35">
      <c r="A2" s="1">
        <v>1</v>
      </c>
      <c r="B2" t="s">
        <v>17</v>
      </c>
      <c r="C2" t="s">
        <v>18</v>
      </c>
      <c r="S2" s="5"/>
    </row>
    <row r="3" spans="1:19" x14ac:dyDescent="0.35">
      <c r="A3" s="1">
        <v>1.1000000000000001</v>
      </c>
      <c r="B3" t="s">
        <v>19</v>
      </c>
      <c r="C3" t="s">
        <v>18</v>
      </c>
      <c r="E3">
        <v>2</v>
      </c>
      <c r="R3" s="7">
        <f t="shared" ref="R3:R54" si="0">SUM(E3:Q3)</f>
        <v>2</v>
      </c>
      <c r="S3" s="5"/>
    </row>
    <row r="4" spans="1:19" x14ac:dyDescent="0.35">
      <c r="A4" s="1">
        <v>1.2</v>
      </c>
      <c r="B4" t="s">
        <v>20</v>
      </c>
      <c r="C4" t="s">
        <v>18</v>
      </c>
      <c r="D4" s="1">
        <v>1.1000000000000001</v>
      </c>
      <c r="F4">
        <v>2</v>
      </c>
      <c r="R4" s="7">
        <f t="shared" si="0"/>
        <v>2</v>
      </c>
      <c r="S4" s="5"/>
    </row>
    <row r="5" spans="1:19" x14ac:dyDescent="0.35">
      <c r="A5" s="1">
        <v>2</v>
      </c>
      <c r="B5" t="s">
        <v>21</v>
      </c>
      <c r="C5" t="s">
        <v>22</v>
      </c>
      <c r="D5" s="1">
        <v>1</v>
      </c>
      <c r="S5" s="5"/>
    </row>
    <row r="6" spans="1:19" x14ac:dyDescent="0.35">
      <c r="A6" s="1">
        <v>2.1</v>
      </c>
      <c r="B6" t="s">
        <v>23</v>
      </c>
      <c r="C6" t="s">
        <v>22</v>
      </c>
      <c r="D6" s="1">
        <v>1.1000000000000001</v>
      </c>
      <c r="E6">
        <v>3</v>
      </c>
      <c r="R6" s="7">
        <f t="shared" si="0"/>
        <v>3</v>
      </c>
      <c r="S6" s="5"/>
    </row>
    <row r="7" spans="1:19" x14ac:dyDescent="0.35">
      <c r="A7" s="1">
        <v>2.2000000000000002</v>
      </c>
      <c r="B7" t="s">
        <v>24</v>
      </c>
      <c r="C7" t="s">
        <v>22</v>
      </c>
      <c r="D7" s="1">
        <v>2.1</v>
      </c>
      <c r="F7">
        <v>3</v>
      </c>
      <c r="R7" s="7">
        <f t="shared" si="0"/>
        <v>3</v>
      </c>
      <c r="S7" s="5"/>
    </row>
    <row r="8" spans="1:19" x14ac:dyDescent="0.35">
      <c r="A8" s="1">
        <v>2.2999999999999998</v>
      </c>
      <c r="B8" t="s">
        <v>25</v>
      </c>
      <c r="C8" t="s">
        <v>22</v>
      </c>
      <c r="D8" s="1">
        <v>2.1</v>
      </c>
      <c r="F8">
        <v>3</v>
      </c>
      <c r="R8" s="7">
        <f t="shared" si="0"/>
        <v>3</v>
      </c>
      <c r="S8" s="5"/>
    </row>
    <row r="9" spans="1:19" x14ac:dyDescent="0.35">
      <c r="A9" s="1">
        <v>2.4</v>
      </c>
      <c r="B9" t="s">
        <v>26</v>
      </c>
      <c r="C9" t="s">
        <v>22</v>
      </c>
      <c r="D9" s="1">
        <v>2.2999999999999998</v>
      </c>
      <c r="G9">
        <v>3</v>
      </c>
      <c r="R9" s="7">
        <f t="shared" si="0"/>
        <v>3</v>
      </c>
      <c r="S9" s="5"/>
    </row>
    <row r="10" spans="1:19" x14ac:dyDescent="0.35">
      <c r="A10" s="1">
        <v>3</v>
      </c>
      <c r="B10" t="s">
        <v>27</v>
      </c>
      <c r="C10" t="s">
        <v>28</v>
      </c>
      <c r="D10" s="1">
        <v>2.2999999999999998</v>
      </c>
      <c r="S10" s="5"/>
    </row>
    <row r="11" spans="1:19" x14ac:dyDescent="0.35">
      <c r="A11" s="1">
        <v>3.1</v>
      </c>
      <c r="B11" t="s">
        <v>29</v>
      </c>
      <c r="C11" t="s">
        <v>28</v>
      </c>
      <c r="D11" s="1">
        <v>2.2999999999999998</v>
      </c>
      <c r="G11">
        <v>2</v>
      </c>
      <c r="R11" s="7">
        <f t="shared" si="0"/>
        <v>2</v>
      </c>
      <c r="S11" s="5"/>
    </row>
    <row r="12" spans="1:19" x14ac:dyDescent="0.35">
      <c r="A12" s="1">
        <v>3.2</v>
      </c>
      <c r="B12" t="s">
        <v>30</v>
      </c>
      <c r="C12" t="s">
        <v>28</v>
      </c>
      <c r="D12" s="1">
        <v>3.1</v>
      </c>
      <c r="S12" s="5"/>
    </row>
    <row r="13" spans="1:19" x14ac:dyDescent="0.35">
      <c r="A13" s="1" t="s">
        <v>31</v>
      </c>
      <c r="B13" t="s">
        <v>32</v>
      </c>
      <c r="C13" t="s">
        <v>28</v>
      </c>
      <c r="D13" s="1">
        <v>3.2</v>
      </c>
      <c r="G13">
        <v>1</v>
      </c>
      <c r="H13">
        <v>1</v>
      </c>
      <c r="R13" s="7">
        <f t="shared" si="0"/>
        <v>2</v>
      </c>
      <c r="S13" s="5"/>
    </row>
    <row r="14" spans="1:19" x14ac:dyDescent="0.35">
      <c r="A14" s="1" t="s">
        <v>33</v>
      </c>
      <c r="B14" t="s">
        <v>34</v>
      </c>
      <c r="C14" t="s">
        <v>28</v>
      </c>
      <c r="D14" s="1" t="s">
        <v>31</v>
      </c>
      <c r="H14">
        <v>1</v>
      </c>
      <c r="R14" s="7">
        <f t="shared" si="0"/>
        <v>1</v>
      </c>
      <c r="S14" s="5"/>
    </row>
    <row r="15" spans="1:19" x14ac:dyDescent="0.35">
      <c r="A15" s="1" t="s">
        <v>35</v>
      </c>
      <c r="B15" t="s">
        <v>36</v>
      </c>
      <c r="C15" t="s">
        <v>28</v>
      </c>
      <c r="D15" s="1" t="s">
        <v>33</v>
      </c>
      <c r="H15">
        <v>1</v>
      </c>
      <c r="R15" s="7">
        <f t="shared" si="0"/>
        <v>1</v>
      </c>
      <c r="S15" s="5"/>
    </row>
    <row r="16" spans="1:19" x14ac:dyDescent="0.35">
      <c r="A16" s="1">
        <v>3.3</v>
      </c>
      <c r="B16" t="s">
        <v>37</v>
      </c>
      <c r="C16" t="s">
        <v>28</v>
      </c>
      <c r="D16" s="1">
        <v>3.1</v>
      </c>
      <c r="S16" s="5"/>
    </row>
    <row r="17" spans="1:19" x14ac:dyDescent="0.35">
      <c r="A17" s="1" t="s">
        <v>38</v>
      </c>
      <c r="B17" t="s">
        <v>39</v>
      </c>
      <c r="C17" t="s">
        <v>28</v>
      </c>
      <c r="D17" s="1">
        <v>3.3</v>
      </c>
      <c r="H17">
        <v>2</v>
      </c>
      <c r="R17" s="7">
        <f t="shared" si="0"/>
        <v>2</v>
      </c>
      <c r="S17" s="5"/>
    </row>
    <row r="18" spans="1:19" x14ac:dyDescent="0.35">
      <c r="A18" s="1" t="s">
        <v>40</v>
      </c>
      <c r="B18" t="s">
        <v>41</v>
      </c>
      <c r="C18" t="s">
        <v>28</v>
      </c>
      <c r="D18" s="1" t="s">
        <v>38</v>
      </c>
      <c r="H18">
        <v>2</v>
      </c>
      <c r="R18" s="7">
        <f t="shared" si="0"/>
        <v>2</v>
      </c>
      <c r="S18" s="5"/>
    </row>
    <row r="19" spans="1:19" x14ac:dyDescent="0.35">
      <c r="A19" s="1" t="s">
        <v>42</v>
      </c>
      <c r="B19" t="s">
        <v>43</v>
      </c>
      <c r="C19" t="s">
        <v>28</v>
      </c>
      <c r="D19" s="1" t="s">
        <v>40</v>
      </c>
      <c r="I19">
        <v>2</v>
      </c>
      <c r="R19" s="7">
        <f t="shared" si="0"/>
        <v>2</v>
      </c>
      <c r="S19" s="5"/>
    </row>
    <row r="20" spans="1:19" x14ac:dyDescent="0.35">
      <c r="A20" s="1">
        <v>3.4</v>
      </c>
      <c r="B20" t="s">
        <v>44</v>
      </c>
      <c r="C20" t="s">
        <v>28</v>
      </c>
      <c r="D20" s="1" t="s">
        <v>42</v>
      </c>
      <c r="S20" s="5"/>
    </row>
    <row r="21" spans="1:19" x14ac:dyDescent="0.35">
      <c r="A21" s="1" t="s">
        <v>45</v>
      </c>
      <c r="B21" t="s">
        <v>46</v>
      </c>
      <c r="C21" t="s">
        <v>28</v>
      </c>
      <c r="D21" s="1" t="s">
        <v>42</v>
      </c>
      <c r="I21">
        <v>1</v>
      </c>
      <c r="R21" s="7">
        <f t="shared" si="0"/>
        <v>1</v>
      </c>
      <c r="S21" s="5"/>
    </row>
    <row r="22" spans="1:19" x14ac:dyDescent="0.35">
      <c r="A22" s="1" t="s">
        <v>47</v>
      </c>
      <c r="B22" t="s">
        <v>48</v>
      </c>
      <c r="C22" t="s">
        <v>28</v>
      </c>
      <c r="D22" s="1" t="s">
        <v>45</v>
      </c>
      <c r="I22">
        <v>3</v>
      </c>
      <c r="R22" s="7">
        <f t="shared" si="0"/>
        <v>3</v>
      </c>
      <c r="S22" s="5"/>
    </row>
    <row r="23" spans="1:19" x14ac:dyDescent="0.35">
      <c r="A23" s="1">
        <v>3.5</v>
      </c>
      <c r="B23" t="s">
        <v>49</v>
      </c>
      <c r="C23" t="s">
        <v>28</v>
      </c>
      <c r="D23" s="1">
        <v>3.3</v>
      </c>
      <c r="S23" s="5"/>
    </row>
    <row r="24" spans="1:19" x14ac:dyDescent="0.35">
      <c r="A24" s="1" t="s">
        <v>50</v>
      </c>
      <c r="B24" t="s">
        <v>51</v>
      </c>
      <c r="C24" t="s">
        <v>28</v>
      </c>
      <c r="D24" s="1">
        <v>3.3</v>
      </c>
      <c r="H24">
        <v>1</v>
      </c>
      <c r="R24" s="7">
        <f t="shared" si="0"/>
        <v>1</v>
      </c>
      <c r="S24" s="5"/>
    </row>
    <row r="25" spans="1:19" x14ac:dyDescent="0.35">
      <c r="A25" s="1" t="s">
        <v>52</v>
      </c>
      <c r="B25" t="s">
        <v>53</v>
      </c>
      <c r="C25" t="s">
        <v>28</v>
      </c>
      <c r="D25" s="1" t="s">
        <v>50</v>
      </c>
      <c r="I25">
        <v>1</v>
      </c>
      <c r="J25">
        <v>1</v>
      </c>
      <c r="R25" s="7">
        <f t="shared" si="0"/>
        <v>2</v>
      </c>
      <c r="S25" s="5"/>
    </row>
    <row r="26" spans="1:19" x14ac:dyDescent="0.35">
      <c r="A26" s="1" t="s">
        <v>54</v>
      </c>
      <c r="B26" t="s">
        <v>55</v>
      </c>
      <c r="C26" t="s">
        <v>28</v>
      </c>
      <c r="D26" s="1" t="s">
        <v>52</v>
      </c>
      <c r="J26">
        <v>2</v>
      </c>
      <c r="R26" s="7">
        <f t="shared" si="0"/>
        <v>2</v>
      </c>
      <c r="S26" s="5"/>
    </row>
    <row r="27" spans="1:19" x14ac:dyDescent="0.35">
      <c r="A27" s="1">
        <v>3.6</v>
      </c>
      <c r="B27" t="s">
        <v>56</v>
      </c>
      <c r="C27" t="s">
        <v>28</v>
      </c>
      <c r="D27" s="1" t="s">
        <v>54</v>
      </c>
      <c r="J27">
        <v>5</v>
      </c>
      <c r="R27" s="7">
        <f>SUM(E27:Q27)</f>
        <v>5</v>
      </c>
      <c r="S27" s="5"/>
    </row>
    <row r="28" spans="1:19" x14ac:dyDescent="0.35">
      <c r="A28" s="1">
        <v>3.7</v>
      </c>
      <c r="B28" t="s">
        <v>57</v>
      </c>
      <c r="C28" t="s">
        <v>58</v>
      </c>
      <c r="D28" s="1">
        <v>3.6</v>
      </c>
      <c r="O28">
        <v>5</v>
      </c>
      <c r="R28" s="7">
        <f t="shared" si="0"/>
        <v>5</v>
      </c>
      <c r="S28" s="5"/>
    </row>
    <row r="29" spans="1:19" x14ac:dyDescent="0.35">
      <c r="A29" s="1">
        <v>4</v>
      </c>
      <c r="B29" t="s">
        <v>59</v>
      </c>
      <c r="C29" t="s">
        <v>60</v>
      </c>
      <c r="S29" s="5"/>
    </row>
    <row r="30" spans="1:19" x14ac:dyDescent="0.35">
      <c r="A30" s="1">
        <v>4.0999999999999996</v>
      </c>
      <c r="B30" t="s">
        <v>61</v>
      </c>
      <c r="C30" t="s">
        <v>60</v>
      </c>
      <c r="D30" s="1">
        <v>3.1</v>
      </c>
      <c r="K30">
        <v>1</v>
      </c>
      <c r="R30" s="7">
        <f t="shared" si="0"/>
        <v>1</v>
      </c>
      <c r="S30" s="5"/>
    </row>
    <row r="31" spans="1:19" x14ac:dyDescent="0.35">
      <c r="A31" s="1">
        <v>4.2</v>
      </c>
      <c r="B31" t="s">
        <v>62</v>
      </c>
      <c r="C31" t="s">
        <v>60</v>
      </c>
      <c r="D31" s="1">
        <v>4.0999999999999996</v>
      </c>
      <c r="K31">
        <v>3</v>
      </c>
      <c r="R31" s="7">
        <f t="shared" si="0"/>
        <v>3</v>
      </c>
      <c r="S31" s="5"/>
    </row>
    <row r="32" spans="1:19" x14ac:dyDescent="0.35">
      <c r="A32" s="1">
        <v>4.3</v>
      </c>
      <c r="B32" t="s">
        <v>63</v>
      </c>
      <c r="C32" t="s">
        <v>60</v>
      </c>
      <c r="D32" s="1">
        <v>4.2</v>
      </c>
      <c r="K32">
        <v>3</v>
      </c>
      <c r="R32" s="7">
        <f t="shared" si="0"/>
        <v>3</v>
      </c>
      <c r="S32" s="5"/>
    </row>
    <row r="33" spans="1:19" x14ac:dyDescent="0.35">
      <c r="A33" s="1">
        <v>4.4000000000000004</v>
      </c>
      <c r="B33" t="s">
        <v>64</v>
      </c>
      <c r="C33" t="s">
        <v>60</v>
      </c>
      <c r="D33" s="1">
        <v>4.3</v>
      </c>
      <c r="K33">
        <v>2</v>
      </c>
      <c r="L33">
        <v>2</v>
      </c>
      <c r="R33" s="7">
        <f t="shared" si="0"/>
        <v>4</v>
      </c>
      <c r="S33" s="5"/>
    </row>
    <row r="34" spans="1:19" x14ac:dyDescent="0.35">
      <c r="A34" s="1">
        <v>4.5</v>
      </c>
      <c r="B34" t="s">
        <v>65</v>
      </c>
      <c r="C34" t="s">
        <v>60</v>
      </c>
      <c r="D34" s="1">
        <v>4.4000000000000004</v>
      </c>
      <c r="L34">
        <v>3</v>
      </c>
      <c r="R34" s="7">
        <f t="shared" si="0"/>
        <v>3</v>
      </c>
      <c r="S34" s="5"/>
    </row>
    <row r="35" spans="1:19" x14ac:dyDescent="0.35">
      <c r="A35" s="1">
        <v>4.5999999999999996</v>
      </c>
      <c r="B35" t="s">
        <v>66</v>
      </c>
      <c r="C35" t="s">
        <v>60</v>
      </c>
      <c r="D35" s="1">
        <v>4.5</v>
      </c>
      <c r="L35">
        <v>1</v>
      </c>
      <c r="R35" s="7">
        <f t="shared" si="0"/>
        <v>1</v>
      </c>
      <c r="S35" s="5"/>
    </row>
    <row r="36" spans="1:19" x14ac:dyDescent="0.35">
      <c r="A36" s="1">
        <v>4.7</v>
      </c>
      <c r="B36" t="s">
        <v>67</v>
      </c>
      <c r="C36" t="s">
        <v>60</v>
      </c>
      <c r="D36" s="1">
        <v>4.5999999999999996</v>
      </c>
      <c r="L36">
        <v>1</v>
      </c>
      <c r="R36" s="7">
        <f t="shared" si="0"/>
        <v>1</v>
      </c>
      <c r="S36" s="5"/>
    </row>
    <row r="37" spans="1:19" x14ac:dyDescent="0.35">
      <c r="A37" s="1">
        <v>4.8</v>
      </c>
      <c r="B37" t="s">
        <v>68</v>
      </c>
      <c r="C37" t="s">
        <v>60</v>
      </c>
      <c r="D37" s="1">
        <v>4.4000000000000004</v>
      </c>
      <c r="L37">
        <v>1</v>
      </c>
      <c r="R37" s="7">
        <f t="shared" si="0"/>
        <v>1</v>
      </c>
      <c r="S37" s="5"/>
    </row>
    <row r="38" spans="1:19" x14ac:dyDescent="0.35">
      <c r="A38" s="1">
        <v>4.9000000000000004</v>
      </c>
      <c r="B38" t="s">
        <v>69</v>
      </c>
      <c r="C38" t="s">
        <v>60</v>
      </c>
      <c r="D38" s="1" t="s">
        <v>70</v>
      </c>
      <c r="L38">
        <v>2</v>
      </c>
      <c r="R38" s="7">
        <f t="shared" si="0"/>
        <v>2</v>
      </c>
      <c r="S38" s="5"/>
    </row>
    <row r="39" spans="1:19" x14ac:dyDescent="0.35">
      <c r="A39" s="1" t="s">
        <v>92</v>
      </c>
      <c r="B39" t="s">
        <v>71</v>
      </c>
      <c r="C39" t="s">
        <v>60</v>
      </c>
      <c r="D39" s="1">
        <v>4.9000000000000004</v>
      </c>
      <c r="L39">
        <v>1</v>
      </c>
      <c r="R39" s="7">
        <f t="shared" si="0"/>
        <v>1</v>
      </c>
      <c r="S39" s="5"/>
    </row>
    <row r="40" spans="1:19" x14ac:dyDescent="0.35">
      <c r="A40" s="1">
        <v>5</v>
      </c>
      <c r="B40" t="s">
        <v>72</v>
      </c>
      <c r="C40" t="s">
        <v>58</v>
      </c>
      <c r="D40" s="1" t="s">
        <v>101</v>
      </c>
      <c r="S40" s="5"/>
    </row>
    <row r="41" spans="1:19" x14ac:dyDescent="0.35">
      <c r="A41" s="1">
        <v>5.0999999999999996</v>
      </c>
      <c r="B41" t="s">
        <v>73</v>
      </c>
      <c r="C41" t="s">
        <v>58</v>
      </c>
      <c r="D41" s="1" t="s">
        <v>74</v>
      </c>
      <c r="M41">
        <v>2</v>
      </c>
      <c r="R41" s="7">
        <f t="shared" si="0"/>
        <v>2</v>
      </c>
      <c r="S41" s="5"/>
    </row>
    <row r="42" spans="1:19" x14ac:dyDescent="0.35">
      <c r="A42" s="1">
        <v>5.2</v>
      </c>
      <c r="B42" t="s">
        <v>75</v>
      </c>
      <c r="C42" t="s">
        <v>58</v>
      </c>
      <c r="D42" s="1" t="s">
        <v>76</v>
      </c>
      <c r="M42">
        <v>1</v>
      </c>
      <c r="R42" s="7">
        <f t="shared" si="0"/>
        <v>1</v>
      </c>
      <c r="S42" s="5"/>
    </row>
    <row r="43" spans="1:19" x14ac:dyDescent="0.35">
      <c r="A43" s="1">
        <v>5.3</v>
      </c>
      <c r="B43" t="s">
        <v>77</v>
      </c>
      <c r="C43" t="s">
        <v>58</v>
      </c>
      <c r="D43" s="1">
        <v>5.2</v>
      </c>
      <c r="M43">
        <v>2</v>
      </c>
      <c r="R43" s="7">
        <f t="shared" si="0"/>
        <v>2</v>
      </c>
      <c r="S43" s="5"/>
    </row>
    <row r="44" spans="1:19" x14ac:dyDescent="0.35">
      <c r="A44" s="1">
        <v>5.4</v>
      </c>
      <c r="B44" t="s">
        <v>78</v>
      </c>
      <c r="C44" t="s">
        <v>58</v>
      </c>
      <c r="D44" s="1">
        <v>5.3</v>
      </c>
      <c r="M44">
        <v>1</v>
      </c>
      <c r="R44" s="7">
        <f t="shared" si="0"/>
        <v>1</v>
      </c>
      <c r="S44" s="5"/>
    </row>
    <row r="45" spans="1:19" x14ac:dyDescent="0.35">
      <c r="A45" s="1">
        <v>5.5</v>
      </c>
      <c r="B45" t="s">
        <v>79</v>
      </c>
      <c r="C45" t="s">
        <v>58</v>
      </c>
      <c r="D45" s="1">
        <v>5.4</v>
      </c>
      <c r="N45">
        <v>2</v>
      </c>
      <c r="R45" s="7">
        <f t="shared" si="0"/>
        <v>2</v>
      </c>
      <c r="S45" s="5"/>
    </row>
    <row r="46" spans="1:19" x14ac:dyDescent="0.35">
      <c r="A46" s="1">
        <v>5.6</v>
      </c>
      <c r="B46" t="s">
        <v>80</v>
      </c>
      <c r="C46" t="s">
        <v>58</v>
      </c>
      <c r="D46" s="1">
        <v>5.5</v>
      </c>
      <c r="N46">
        <v>2</v>
      </c>
      <c r="R46" s="7">
        <f t="shared" si="0"/>
        <v>2</v>
      </c>
      <c r="S46" s="5"/>
    </row>
    <row r="47" spans="1:19" x14ac:dyDescent="0.35">
      <c r="A47" s="1">
        <v>6</v>
      </c>
      <c r="B47" t="s">
        <v>81</v>
      </c>
      <c r="C47" t="s">
        <v>82</v>
      </c>
      <c r="D47" s="1">
        <v>5.6</v>
      </c>
      <c r="S47" s="5"/>
    </row>
    <row r="48" spans="1:19" x14ac:dyDescent="0.35">
      <c r="A48" s="1">
        <v>6.1</v>
      </c>
      <c r="B48" t="s">
        <v>83</v>
      </c>
      <c r="C48" t="s">
        <v>82</v>
      </c>
      <c r="D48" s="1">
        <v>5.6</v>
      </c>
      <c r="O48">
        <v>2</v>
      </c>
      <c r="R48" s="7">
        <f t="shared" si="0"/>
        <v>2</v>
      </c>
      <c r="S48" s="5"/>
    </row>
    <row r="49" spans="1:19" x14ac:dyDescent="0.35">
      <c r="A49" s="1">
        <v>6.2</v>
      </c>
      <c r="B49" t="s">
        <v>84</v>
      </c>
      <c r="C49" t="s">
        <v>82</v>
      </c>
      <c r="D49" s="1">
        <v>6.1</v>
      </c>
      <c r="O49">
        <v>2</v>
      </c>
      <c r="R49" s="7">
        <f t="shared" si="0"/>
        <v>2</v>
      </c>
      <c r="S49" s="5"/>
    </row>
    <row r="50" spans="1:19" x14ac:dyDescent="0.35">
      <c r="A50" s="1">
        <v>6.3</v>
      </c>
      <c r="B50" t="s">
        <v>85</v>
      </c>
      <c r="C50" t="s">
        <v>82</v>
      </c>
      <c r="D50" s="1">
        <v>6.1</v>
      </c>
      <c r="N50">
        <v>2</v>
      </c>
      <c r="R50" s="7">
        <f t="shared" si="0"/>
        <v>2</v>
      </c>
      <c r="S50" s="5"/>
    </row>
    <row r="51" spans="1:19" x14ac:dyDescent="0.35">
      <c r="A51" s="1">
        <v>6.4</v>
      </c>
      <c r="B51" t="s">
        <v>86</v>
      </c>
      <c r="C51" t="s">
        <v>82</v>
      </c>
      <c r="D51" s="1">
        <v>6.1</v>
      </c>
      <c r="P51">
        <v>2</v>
      </c>
      <c r="R51" s="7">
        <f t="shared" si="0"/>
        <v>2</v>
      </c>
      <c r="S51" s="5"/>
    </row>
    <row r="52" spans="1:19" x14ac:dyDescent="0.35">
      <c r="A52" s="1">
        <v>6.5</v>
      </c>
      <c r="B52" t="s">
        <v>87</v>
      </c>
      <c r="C52" t="s">
        <v>82</v>
      </c>
      <c r="D52" s="1" t="s">
        <v>88</v>
      </c>
      <c r="P52">
        <v>4</v>
      </c>
      <c r="R52" s="7">
        <f t="shared" si="0"/>
        <v>4</v>
      </c>
      <c r="S52" s="5"/>
    </row>
    <row r="53" spans="1:19" x14ac:dyDescent="0.35">
      <c r="A53" s="1">
        <v>6.6</v>
      </c>
      <c r="B53" t="s">
        <v>89</v>
      </c>
      <c r="C53" t="s">
        <v>82</v>
      </c>
      <c r="D53" s="1">
        <v>6.5</v>
      </c>
      <c r="Q53">
        <v>6</v>
      </c>
      <c r="R53" s="7">
        <f t="shared" si="0"/>
        <v>6</v>
      </c>
      <c r="S53" s="5"/>
    </row>
    <row r="54" spans="1:19" x14ac:dyDescent="0.35">
      <c r="A54" s="1" t="s">
        <v>90</v>
      </c>
      <c r="B54" t="s">
        <v>91</v>
      </c>
      <c r="C54" t="s">
        <v>82</v>
      </c>
      <c r="D54" s="1">
        <v>4.0999999999999996</v>
      </c>
      <c r="Q54">
        <v>1</v>
      </c>
      <c r="R54" s="7">
        <f t="shared" si="0"/>
        <v>1</v>
      </c>
      <c r="S54" s="5"/>
    </row>
    <row r="55" spans="1:19" x14ac:dyDescent="0.35">
      <c r="D55" s="2" t="s">
        <v>93</v>
      </c>
      <c r="E55">
        <f>SUM(E2:E54)</f>
        <v>5</v>
      </c>
      <c r="F55">
        <f t="shared" ref="F55:Q55" si="1">SUM(F2:F54)</f>
        <v>8</v>
      </c>
      <c r="G55">
        <f t="shared" si="1"/>
        <v>6</v>
      </c>
      <c r="H55">
        <f t="shared" si="1"/>
        <v>8</v>
      </c>
      <c r="I55">
        <f t="shared" si="1"/>
        <v>7</v>
      </c>
      <c r="J55">
        <f t="shared" si="1"/>
        <v>8</v>
      </c>
      <c r="K55">
        <f t="shared" si="1"/>
        <v>9</v>
      </c>
      <c r="L55">
        <f t="shared" si="1"/>
        <v>11</v>
      </c>
      <c r="M55">
        <f t="shared" si="1"/>
        <v>6</v>
      </c>
      <c r="N55">
        <f t="shared" si="1"/>
        <v>6</v>
      </c>
      <c r="O55">
        <f t="shared" si="1"/>
        <v>9</v>
      </c>
      <c r="P55">
        <f t="shared" si="1"/>
        <v>6</v>
      </c>
      <c r="Q55">
        <f t="shared" si="1"/>
        <v>7</v>
      </c>
      <c r="R55" s="7">
        <f>SUM(E55:Q55)</f>
        <v>96</v>
      </c>
    </row>
  </sheetData>
  <conditionalFormatting sqref="E2:Q54">
    <cfRule type="cellIs" dxfId="13" priority="6" operator="greaterThan">
      <formula>0</formula>
    </cfRule>
  </conditionalFormatting>
  <conditionalFormatting sqref="E55:Q55">
    <cfRule type="cellIs" dxfId="12" priority="8" operator="between">
      <formula>6</formula>
      <formula>9</formula>
    </cfRule>
    <cfRule type="cellIs" dxfId="11" priority="9" operator="lessThan">
      <formula>6</formula>
    </cfRule>
    <cfRule type="cellIs" dxfId="10" priority="10" operator="greaterThan">
      <formula>9</formula>
    </cfRule>
  </conditionalFormatting>
  <pageMargins left="0.7" right="0.7" top="0.75" bottom="0.75" header="0.3" footer="0.3"/>
  <ignoredErrors>
    <ignoredError sqref="R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DF7B-1DF5-4BA6-BB5F-53F88794F0DA}">
  <dimension ref="A1:S55"/>
  <sheetViews>
    <sheetView zoomScale="80" zoomScaleNormal="80" workbookViewId="0">
      <pane ySplit="1" topLeftCell="A2" activePane="bottomLeft" state="frozen"/>
      <selection pane="bottomLeft" activeCell="J39" sqref="J39"/>
    </sheetView>
  </sheetViews>
  <sheetFormatPr defaultRowHeight="14.5" x14ac:dyDescent="0.35"/>
  <cols>
    <col min="1" max="1" width="8.7265625" style="1"/>
    <col min="2" max="2" width="42.7265625" customWidth="1"/>
    <col min="4" max="4" width="12.90625" style="1" customWidth="1"/>
    <col min="18" max="18" width="13.7265625" style="7" customWidth="1"/>
  </cols>
  <sheetData>
    <row r="1" spans="1:19" s="3" customForma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94</v>
      </c>
      <c r="S1" s="4"/>
    </row>
    <row r="2" spans="1:19" x14ac:dyDescent="0.35">
      <c r="A2" s="1">
        <v>1</v>
      </c>
      <c r="B2" t="s">
        <v>17</v>
      </c>
      <c r="C2" t="s">
        <v>18</v>
      </c>
      <c r="S2" s="5"/>
    </row>
    <row r="3" spans="1:19" x14ac:dyDescent="0.35">
      <c r="A3" s="1">
        <v>1.1000000000000001</v>
      </c>
      <c r="B3" t="s">
        <v>19</v>
      </c>
      <c r="C3" t="s">
        <v>18</v>
      </c>
      <c r="E3">
        <v>2</v>
      </c>
      <c r="R3" s="7">
        <f t="shared" ref="R3:R54" si="0">SUM(E3:Q3)</f>
        <v>2</v>
      </c>
      <c r="S3" s="5"/>
    </row>
    <row r="4" spans="1:19" x14ac:dyDescent="0.35">
      <c r="A4" s="1">
        <v>1.2</v>
      </c>
      <c r="B4" t="s">
        <v>20</v>
      </c>
      <c r="C4" t="s">
        <v>18</v>
      </c>
      <c r="D4" s="1">
        <v>1.1000000000000001</v>
      </c>
      <c r="F4">
        <v>2</v>
      </c>
      <c r="R4" s="7">
        <f t="shared" si="0"/>
        <v>2</v>
      </c>
      <c r="S4" s="5"/>
    </row>
    <row r="5" spans="1:19" x14ac:dyDescent="0.35">
      <c r="A5" s="1">
        <v>2</v>
      </c>
      <c r="B5" t="s">
        <v>21</v>
      </c>
      <c r="C5" t="s">
        <v>22</v>
      </c>
      <c r="D5" s="1">
        <v>1</v>
      </c>
      <c r="S5" s="5"/>
    </row>
    <row r="6" spans="1:19" x14ac:dyDescent="0.35">
      <c r="A6" s="1">
        <v>2.1</v>
      </c>
      <c r="B6" t="s">
        <v>23</v>
      </c>
      <c r="C6" t="s">
        <v>22</v>
      </c>
      <c r="D6" s="1">
        <v>1.1000000000000001</v>
      </c>
      <c r="E6">
        <v>3</v>
      </c>
      <c r="R6" s="7">
        <f t="shared" si="0"/>
        <v>3</v>
      </c>
      <c r="S6" s="5"/>
    </row>
    <row r="7" spans="1:19" x14ac:dyDescent="0.35">
      <c r="A7" s="1">
        <v>2.2000000000000002</v>
      </c>
      <c r="B7" t="s">
        <v>24</v>
      </c>
      <c r="C7" t="s">
        <v>22</v>
      </c>
      <c r="D7" s="1">
        <v>2.1</v>
      </c>
      <c r="F7">
        <v>3</v>
      </c>
      <c r="R7" s="7">
        <f t="shared" si="0"/>
        <v>3</v>
      </c>
      <c r="S7" s="5"/>
    </row>
    <row r="8" spans="1:19" x14ac:dyDescent="0.35">
      <c r="A8" s="1">
        <v>2.2999999999999998</v>
      </c>
      <c r="B8" t="s">
        <v>25</v>
      </c>
      <c r="C8" t="s">
        <v>22</v>
      </c>
      <c r="D8" s="1">
        <v>2.1</v>
      </c>
      <c r="F8">
        <v>2</v>
      </c>
      <c r="H8">
        <v>1</v>
      </c>
      <c r="R8" s="7">
        <f t="shared" si="0"/>
        <v>3</v>
      </c>
      <c r="S8" s="5"/>
    </row>
    <row r="9" spans="1:19" x14ac:dyDescent="0.35">
      <c r="A9" s="1">
        <v>2.4</v>
      </c>
      <c r="B9" t="s">
        <v>26</v>
      </c>
      <c r="C9" t="s">
        <v>22</v>
      </c>
      <c r="D9" s="1">
        <v>2.2999999999999998</v>
      </c>
      <c r="G9">
        <v>3</v>
      </c>
      <c r="R9" s="7">
        <f t="shared" si="0"/>
        <v>3</v>
      </c>
      <c r="S9" s="5"/>
    </row>
    <row r="10" spans="1:19" x14ac:dyDescent="0.35">
      <c r="A10" s="1">
        <v>3</v>
      </c>
      <c r="B10" t="s">
        <v>27</v>
      </c>
      <c r="C10" t="s">
        <v>28</v>
      </c>
      <c r="D10" s="1">
        <v>2.2999999999999998</v>
      </c>
      <c r="S10" s="5"/>
    </row>
    <row r="11" spans="1:19" x14ac:dyDescent="0.35">
      <c r="A11" s="1">
        <v>3.1</v>
      </c>
      <c r="B11" t="s">
        <v>29</v>
      </c>
      <c r="C11" t="s">
        <v>28</v>
      </c>
      <c r="D11" s="1">
        <v>2.2999999999999998</v>
      </c>
      <c r="G11">
        <v>1</v>
      </c>
      <c r="H11">
        <v>1</v>
      </c>
      <c r="R11" s="7">
        <f t="shared" si="0"/>
        <v>2</v>
      </c>
      <c r="S11" s="5"/>
    </row>
    <row r="12" spans="1:19" x14ac:dyDescent="0.35">
      <c r="A12" s="1">
        <v>3.2</v>
      </c>
      <c r="B12" t="s">
        <v>30</v>
      </c>
      <c r="C12" t="s">
        <v>28</v>
      </c>
      <c r="D12" s="1">
        <v>3.1</v>
      </c>
      <c r="S12" s="5"/>
    </row>
    <row r="13" spans="1:19" x14ac:dyDescent="0.35">
      <c r="A13" s="1" t="s">
        <v>31</v>
      </c>
      <c r="B13" t="s">
        <v>32</v>
      </c>
      <c r="C13" t="s">
        <v>28</v>
      </c>
      <c r="D13" s="1">
        <v>3.2</v>
      </c>
      <c r="I13">
        <v>2</v>
      </c>
      <c r="R13" s="7">
        <f t="shared" si="0"/>
        <v>2</v>
      </c>
      <c r="S13" s="5"/>
    </row>
    <row r="14" spans="1:19" x14ac:dyDescent="0.35">
      <c r="A14" s="1" t="s">
        <v>33</v>
      </c>
      <c r="B14" t="s">
        <v>34</v>
      </c>
      <c r="C14" t="s">
        <v>28</v>
      </c>
      <c r="D14" s="1" t="s">
        <v>31</v>
      </c>
      <c r="I14">
        <v>1</v>
      </c>
      <c r="R14" s="7">
        <f t="shared" si="0"/>
        <v>1</v>
      </c>
      <c r="S14" s="5"/>
    </row>
    <row r="15" spans="1:19" x14ac:dyDescent="0.35">
      <c r="A15" s="1" t="s">
        <v>35</v>
      </c>
      <c r="B15" t="s">
        <v>36</v>
      </c>
      <c r="C15" t="s">
        <v>28</v>
      </c>
      <c r="D15" s="1" t="s">
        <v>33</v>
      </c>
      <c r="I15">
        <v>1</v>
      </c>
      <c r="R15" s="7">
        <f t="shared" si="0"/>
        <v>1</v>
      </c>
      <c r="S15" s="5"/>
    </row>
    <row r="16" spans="1:19" x14ac:dyDescent="0.35">
      <c r="A16" s="1">
        <v>3.3</v>
      </c>
      <c r="B16" t="s">
        <v>37</v>
      </c>
      <c r="C16" t="s">
        <v>28</v>
      </c>
      <c r="D16" s="1">
        <v>3.1</v>
      </c>
      <c r="S16" s="5"/>
    </row>
    <row r="17" spans="1:19" x14ac:dyDescent="0.35">
      <c r="A17" s="1" t="s">
        <v>38</v>
      </c>
      <c r="B17" t="s">
        <v>39</v>
      </c>
      <c r="C17" t="s">
        <v>28</v>
      </c>
      <c r="D17" s="1">
        <v>3.3</v>
      </c>
      <c r="I17">
        <v>2</v>
      </c>
      <c r="R17" s="7">
        <f t="shared" si="0"/>
        <v>2</v>
      </c>
      <c r="S17" s="5"/>
    </row>
    <row r="18" spans="1:19" x14ac:dyDescent="0.35">
      <c r="A18" s="1" t="s">
        <v>40</v>
      </c>
      <c r="B18" t="s">
        <v>41</v>
      </c>
      <c r="C18" t="s">
        <v>28</v>
      </c>
      <c r="D18" s="1" t="s">
        <v>38</v>
      </c>
      <c r="I18">
        <v>2</v>
      </c>
      <c r="R18" s="7">
        <f t="shared" si="0"/>
        <v>2</v>
      </c>
      <c r="S18" s="5"/>
    </row>
    <row r="19" spans="1:19" x14ac:dyDescent="0.35">
      <c r="A19" s="1" t="s">
        <v>42</v>
      </c>
      <c r="B19" t="s">
        <v>43</v>
      </c>
      <c r="C19" t="s">
        <v>28</v>
      </c>
      <c r="D19" s="1" t="s">
        <v>40</v>
      </c>
      <c r="J19">
        <v>2</v>
      </c>
      <c r="R19" s="7">
        <f t="shared" si="0"/>
        <v>2</v>
      </c>
      <c r="S19" s="5"/>
    </row>
    <row r="20" spans="1:19" x14ac:dyDescent="0.35">
      <c r="A20" s="1">
        <v>3.4</v>
      </c>
      <c r="B20" t="s">
        <v>44</v>
      </c>
      <c r="C20" t="s">
        <v>28</v>
      </c>
      <c r="D20" s="1" t="s">
        <v>42</v>
      </c>
      <c r="S20" s="5"/>
    </row>
    <row r="21" spans="1:19" x14ac:dyDescent="0.35">
      <c r="A21" s="1" t="s">
        <v>45</v>
      </c>
      <c r="B21" t="s">
        <v>46</v>
      </c>
      <c r="C21" t="s">
        <v>28</v>
      </c>
      <c r="D21" s="1" t="s">
        <v>42</v>
      </c>
      <c r="J21">
        <v>1</v>
      </c>
      <c r="R21" s="7">
        <f t="shared" si="0"/>
        <v>1</v>
      </c>
      <c r="S21" s="5"/>
    </row>
    <row r="22" spans="1:19" x14ac:dyDescent="0.35">
      <c r="A22" s="1" t="s">
        <v>47</v>
      </c>
      <c r="B22" t="s">
        <v>48</v>
      </c>
      <c r="C22" t="s">
        <v>28</v>
      </c>
      <c r="D22" s="1" t="s">
        <v>45</v>
      </c>
      <c r="J22">
        <v>3</v>
      </c>
      <c r="R22" s="7">
        <f t="shared" si="0"/>
        <v>3</v>
      </c>
      <c r="S22" s="5"/>
    </row>
    <row r="23" spans="1:19" x14ac:dyDescent="0.35">
      <c r="A23" s="1">
        <v>3.5</v>
      </c>
      <c r="B23" t="s">
        <v>49</v>
      </c>
      <c r="C23" t="s">
        <v>28</v>
      </c>
      <c r="D23" s="1">
        <v>3.3</v>
      </c>
      <c r="S23" s="5"/>
    </row>
    <row r="24" spans="1:19" x14ac:dyDescent="0.35">
      <c r="A24" s="1" t="s">
        <v>50</v>
      </c>
      <c r="B24" t="s">
        <v>51</v>
      </c>
      <c r="C24" t="s">
        <v>28</v>
      </c>
      <c r="D24" s="1">
        <v>3.3</v>
      </c>
      <c r="I24">
        <v>1</v>
      </c>
      <c r="R24" s="7">
        <f t="shared" si="0"/>
        <v>1</v>
      </c>
      <c r="S24" s="5"/>
    </row>
    <row r="25" spans="1:19" x14ac:dyDescent="0.35">
      <c r="A25" s="1" t="s">
        <v>52</v>
      </c>
      <c r="B25" t="s">
        <v>53</v>
      </c>
      <c r="C25" t="s">
        <v>28</v>
      </c>
      <c r="D25" s="1" t="s">
        <v>50</v>
      </c>
      <c r="J25">
        <v>2</v>
      </c>
      <c r="R25" s="7">
        <f t="shared" si="0"/>
        <v>2</v>
      </c>
      <c r="S25" s="5"/>
    </row>
    <row r="26" spans="1:19" x14ac:dyDescent="0.35">
      <c r="A26" s="1" t="s">
        <v>54</v>
      </c>
      <c r="B26" t="s">
        <v>55</v>
      </c>
      <c r="C26" t="s">
        <v>28</v>
      </c>
      <c r="D26" s="1" t="s">
        <v>52</v>
      </c>
      <c r="J26">
        <v>2</v>
      </c>
      <c r="R26" s="7">
        <f t="shared" si="0"/>
        <v>2</v>
      </c>
      <c r="S26" s="5"/>
    </row>
    <row r="27" spans="1:19" x14ac:dyDescent="0.35">
      <c r="A27" s="1">
        <v>3.6</v>
      </c>
      <c r="B27" t="s">
        <v>56</v>
      </c>
      <c r="C27" t="s">
        <v>28</v>
      </c>
      <c r="D27" s="1" t="s">
        <v>54</v>
      </c>
      <c r="J27">
        <v>2</v>
      </c>
      <c r="K27">
        <v>3</v>
      </c>
      <c r="R27" s="7">
        <f>SUM(E27:Q27)</f>
        <v>5</v>
      </c>
      <c r="S27" s="5"/>
    </row>
    <row r="28" spans="1:19" x14ac:dyDescent="0.35">
      <c r="A28" s="1">
        <v>3.7</v>
      </c>
      <c r="B28" t="s">
        <v>57</v>
      </c>
      <c r="C28" t="s">
        <v>58</v>
      </c>
      <c r="D28" s="1">
        <v>3.6</v>
      </c>
      <c r="O28">
        <v>5</v>
      </c>
      <c r="R28" s="7">
        <f t="shared" si="0"/>
        <v>5</v>
      </c>
      <c r="S28" s="5"/>
    </row>
    <row r="29" spans="1:19" x14ac:dyDescent="0.35">
      <c r="A29" s="1">
        <v>4</v>
      </c>
      <c r="B29" t="s">
        <v>59</v>
      </c>
      <c r="C29" t="s">
        <v>60</v>
      </c>
      <c r="S29" s="5"/>
    </row>
    <row r="30" spans="1:19" x14ac:dyDescent="0.35">
      <c r="A30" s="1">
        <v>4.0999999999999996</v>
      </c>
      <c r="B30" t="s">
        <v>61</v>
      </c>
      <c r="C30" t="s">
        <v>60</v>
      </c>
      <c r="D30" s="1">
        <v>3.1</v>
      </c>
      <c r="K30">
        <v>1</v>
      </c>
      <c r="R30" s="7">
        <f t="shared" si="0"/>
        <v>1</v>
      </c>
      <c r="S30" s="5"/>
    </row>
    <row r="31" spans="1:19" x14ac:dyDescent="0.35">
      <c r="A31" s="1">
        <v>4.2</v>
      </c>
      <c r="B31" t="s">
        <v>62</v>
      </c>
      <c r="C31" t="s">
        <v>60</v>
      </c>
      <c r="D31" s="1">
        <v>4.0999999999999996</v>
      </c>
      <c r="K31">
        <v>3</v>
      </c>
      <c r="R31" s="7">
        <f t="shared" si="0"/>
        <v>3</v>
      </c>
      <c r="S31" s="5"/>
    </row>
    <row r="32" spans="1:19" x14ac:dyDescent="0.35">
      <c r="A32" s="1">
        <v>4.3</v>
      </c>
      <c r="B32" t="s">
        <v>63</v>
      </c>
      <c r="C32" t="s">
        <v>60</v>
      </c>
      <c r="D32" s="1">
        <v>4.2</v>
      </c>
      <c r="K32">
        <v>3</v>
      </c>
      <c r="R32" s="7">
        <f t="shared" si="0"/>
        <v>3</v>
      </c>
      <c r="S32" s="5"/>
    </row>
    <row r="33" spans="1:19" x14ac:dyDescent="0.35">
      <c r="A33" s="1">
        <v>4.4000000000000004</v>
      </c>
      <c r="B33" t="s">
        <v>64</v>
      </c>
      <c r="C33" t="s">
        <v>60</v>
      </c>
      <c r="D33" s="1">
        <v>4.3</v>
      </c>
      <c r="K33">
        <v>2</v>
      </c>
      <c r="L33">
        <v>2</v>
      </c>
      <c r="R33" s="7">
        <f t="shared" si="0"/>
        <v>4</v>
      </c>
      <c r="S33" s="5"/>
    </row>
    <row r="34" spans="1:19" x14ac:dyDescent="0.35">
      <c r="A34" s="1">
        <v>4.5</v>
      </c>
      <c r="B34" t="s">
        <v>65</v>
      </c>
      <c r="C34" t="s">
        <v>60</v>
      </c>
      <c r="D34" s="1">
        <v>4.4000000000000004</v>
      </c>
      <c r="L34">
        <v>3</v>
      </c>
      <c r="R34" s="7">
        <f t="shared" si="0"/>
        <v>3</v>
      </c>
      <c r="S34" s="5"/>
    </row>
    <row r="35" spans="1:19" x14ac:dyDescent="0.35">
      <c r="A35" s="1">
        <v>4.5999999999999996</v>
      </c>
      <c r="B35" t="s">
        <v>66</v>
      </c>
      <c r="C35" t="s">
        <v>60</v>
      </c>
      <c r="D35" s="1">
        <v>4.5</v>
      </c>
      <c r="L35">
        <v>1</v>
      </c>
      <c r="R35" s="7">
        <f t="shared" si="0"/>
        <v>1</v>
      </c>
      <c r="S35" s="5"/>
    </row>
    <row r="36" spans="1:19" x14ac:dyDescent="0.35">
      <c r="A36" s="1">
        <v>4.7</v>
      </c>
      <c r="B36" t="s">
        <v>67</v>
      </c>
      <c r="C36" t="s">
        <v>60</v>
      </c>
      <c r="D36" s="1">
        <v>4.5999999999999996</v>
      </c>
      <c r="L36">
        <v>1</v>
      </c>
      <c r="R36" s="7">
        <f t="shared" si="0"/>
        <v>1</v>
      </c>
      <c r="S36" s="5"/>
    </row>
    <row r="37" spans="1:19" x14ac:dyDescent="0.35">
      <c r="A37" s="1">
        <v>4.8</v>
      </c>
      <c r="B37" t="s">
        <v>68</v>
      </c>
      <c r="C37" t="s">
        <v>60</v>
      </c>
      <c r="D37" s="1">
        <v>4.4000000000000004</v>
      </c>
      <c r="L37">
        <v>1</v>
      </c>
      <c r="R37" s="7">
        <f t="shared" si="0"/>
        <v>1</v>
      </c>
      <c r="S37" s="5"/>
    </row>
    <row r="38" spans="1:19" x14ac:dyDescent="0.35">
      <c r="A38" s="1">
        <v>4.9000000000000004</v>
      </c>
      <c r="B38" t="s">
        <v>69</v>
      </c>
      <c r="C38" t="s">
        <v>60</v>
      </c>
      <c r="D38" s="1" t="s">
        <v>70</v>
      </c>
      <c r="L38">
        <v>2</v>
      </c>
      <c r="R38" s="7">
        <f t="shared" si="0"/>
        <v>2</v>
      </c>
      <c r="S38" s="5"/>
    </row>
    <row r="39" spans="1:19" x14ac:dyDescent="0.35">
      <c r="A39" s="1" t="s">
        <v>92</v>
      </c>
      <c r="B39" t="s">
        <v>71</v>
      </c>
      <c r="C39" t="s">
        <v>60</v>
      </c>
      <c r="D39" s="1">
        <v>4.9000000000000004</v>
      </c>
      <c r="J39">
        <v>2</v>
      </c>
      <c r="L39">
        <v>1</v>
      </c>
      <c r="R39" s="7">
        <f t="shared" si="0"/>
        <v>3</v>
      </c>
      <c r="S39" s="5"/>
    </row>
    <row r="40" spans="1:19" x14ac:dyDescent="0.35">
      <c r="A40" s="1">
        <v>5</v>
      </c>
      <c r="B40" t="s">
        <v>72</v>
      </c>
      <c r="C40" t="s">
        <v>58</v>
      </c>
      <c r="D40" s="1" t="s">
        <v>101</v>
      </c>
      <c r="S40" s="5"/>
    </row>
    <row r="41" spans="1:19" x14ac:dyDescent="0.35">
      <c r="A41" s="1">
        <v>5.0999999999999996</v>
      </c>
      <c r="B41" t="s">
        <v>73</v>
      </c>
      <c r="C41" t="s">
        <v>58</v>
      </c>
      <c r="D41" s="1" t="s">
        <v>74</v>
      </c>
      <c r="M41">
        <v>2</v>
      </c>
      <c r="R41" s="7">
        <f t="shared" si="0"/>
        <v>2</v>
      </c>
      <c r="S41" s="5"/>
    </row>
    <row r="42" spans="1:19" x14ac:dyDescent="0.35">
      <c r="A42" s="1">
        <v>5.2</v>
      </c>
      <c r="B42" t="s">
        <v>75</v>
      </c>
      <c r="C42" t="s">
        <v>58</v>
      </c>
      <c r="D42" s="1" t="s">
        <v>76</v>
      </c>
      <c r="M42">
        <v>1</v>
      </c>
      <c r="R42" s="7">
        <f t="shared" si="0"/>
        <v>1</v>
      </c>
      <c r="S42" s="5"/>
    </row>
    <row r="43" spans="1:19" x14ac:dyDescent="0.35">
      <c r="A43" s="1">
        <v>5.3</v>
      </c>
      <c r="B43" t="s">
        <v>77</v>
      </c>
      <c r="C43" t="s">
        <v>58</v>
      </c>
      <c r="D43" s="1">
        <v>5.2</v>
      </c>
      <c r="M43">
        <v>2</v>
      </c>
      <c r="R43" s="7">
        <f t="shared" si="0"/>
        <v>2</v>
      </c>
      <c r="S43" s="5"/>
    </row>
    <row r="44" spans="1:19" x14ac:dyDescent="0.35">
      <c r="A44" s="1">
        <v>5.4</v>
      </c>
      <c r="B44" t="s">
        <v>78</v>
      </c>
      <c r="C44" t="s">
        <v>58</v>
      </c>
      <c r="D44" s="1">
        <v>5.3</v>
      </c>
      <c r="M44">
        <v>1</v>
      </c>
      <c r="R44" s="7">
        <f t="shared" si="0"/>
        <v>1</v>
      </c>
      <c r="S44" s="5"/>
    </row>
    <row r="45" spans="1:19" x14ac:dyDescent="0.35">
      <c r="A45" s="1">
        <v>5.5</v>
      </c>
      <c r="B45" t="s">
        <v>79</v>
      </c>
      <c r="C45" t="s">
        <v>58</v>
      </c>
      <c r="D45" s="1">
        <v>5.4</v>
      </c>
      <c r="N45">
        <v>2</v>
      </c>
      <c r="R45" s="7">
        <f t="shared" si="0"/>
        <v>2</v>
      </c>
      <c r="S45" s="5"/>
    </row>
    <row r="46" spans="1:19" x14ac:dyDescent="0.35">
      <c r="A46" s="1">
        <v>5.6</v>
      </c>
      <c r="B46" t="s">
        <v>80</v>
      </c>
      <c r="C46" t="s">
        <v>58</v>
      </c>
      <c r="D46" s="1">
        <v>5.5</v>
      </c>
      <c r="N46">
        <v>2</v>
      </c>
      <c r="R46" s="7">
        <f t="shared" si="0"/>
        <v>2</v>
      </c>
      <c r="S46" s="5"/>
    </row>
    <row r="47" spans="1:19" x14ac:dyDescent="0.35">
      <c r="A47" s="1">
        <v>6</v>
      </c>
      <c r="B47" t="s">
        <v>81</v>
      </c>
      <c r="C47" t="s">
        <v>82</v>
      </c>
      <c r="D47" s="1">
        <v>5.6</v>
      </c>
      <c r="S47" s="5"/>
    </row>
    <row r="48" spans="1:19" x14ac:dyDescent="0.35">
      <c r="A48" s="1">
        <v>6.1</v>
      </c>
      <c r="B48" t="s">
        <v>83</v>
      </c>
      <c r="C48" t="s">
        <v>82</v>
      </c>
      <c r="D48" s="1">
        <v>5.6</v>
      </c>
      <c r="O48">
        <v>2</v>
      </c>
      <c r="R48" s="7">
        <f t="shared" si="0"/>
        <v>2</v>
      </c>
      <c r="S48" s="5"/>
    </row>
    <row r="49" spans="1:19" x14ac:dyDescent="0.35">
      <c r="A49" s="1">
        <v>6.2</v>
      </c>
      <c r="B49" t="s">
        <v>84</v>
      </c>
      <c r="C49" t="s">
        <v>82</v>
      </c>
      <c r="D49" s="1">
        <v>6.1</v>
      </c>
      <c r="O49">
        <v>2</v>
      </c>
      <c r="R49" s="7">
        <f t="shared" si="0"/>
        <v>2</v>
      </c>
      <c r="S49" s="5"/>
    </row>
    <row r="50" spans="1:19" x14ac:dyDescent="0.35">
      <c r="A50" s="1">
        <v>6.3</v>
      </c>
      <c r="B50" t="s">
        <v>85</v>
      </c>
      <c r="C50" t="s">
        <v>82</v>
      </c>
      <c r="D50" s="1">
        <v>6.1</v>
      </c>
      <c r="N50">
        <v>2</v>
      </c>
      <c r="R50" s="7">
        <f t="shared" si="0"/>
        <v>2</v>
      </c>
      <c r="S50" s="5"/>
    </row>
    <row r="51" spans="1:19" x14ac:dyDescent="0.35">
      <c r="A51" s="1">
        <v>6.4</v>
      </c>
      <c r="B51" t="s">
        <v>86</v>
      </c>
      <c r="C51" t="s">
        <v>82</v>
      </c>
      <c r="D51" s="1">
        <v>6.1</v>
      </c>
      <c r="P51">
        <v>2</v>
      </c>
      <c r="R51" s="7">
        <f t="shared" si="0"/>
        <v>2</v>
      </c>
      <c r="S51" s="5"/>
    </row>
    <row r="52" spans="1:19" x14ac:dyDescent="0.35">
      <c r="A52" s="1">
        <v>6.5</v>
      </c>
      <c r="B52" t="s">
        <v>87</v>
      </c>
      <c r="C52" t="s">
        <v>82</v>
      </c>
      <c r="D52" s="1" t="s">
        <v>88</v>
      </c>
      <c r="P52">
        <v>4</v>
      </c>
      <c r="R52" s="7">
        <f t="shared" si="0"/>
        <v>4</v>
      </c>
      <c r="S52" s="5"/>
    </row>
    <row r="53" spans="1:19" x14ac:dyDescent="0.35">
      <c r="A53" s="1">
        <v>6.6</v>
      </c>
      <c r="B53" t="s">
        <v>89</v>
      </c>
      <c r="C53" t="s">
        <v>82</v>
      </c>
      <c r="D53" s="1">
        <v>6.5</v>
      </c>
      <c r="Q53">
        <v>6</v>
      </c>
      <c r="R53" s="7">
        <f t="shared" si="0"/>
        <v>6</v>
      </c>
      <c r="S53" s="5"/>
    </row>
    <row r="54" spans="1:19" x14ac:dyDescent="0.35">
      <c r="A54" s="1" t="s">
        <v>90</v>
      </c>
      <c r="B54" t="s">
        <v>91</v>
      </c>
      <c r="C54" t="s">
        <v>82</v>
      </c>
      <c r="D54" s="1">
        <v>4.0999999999999996</v>
      </c>
      <c r="Q54">
        <v>1</v>
      </c>
      <c r="R54" s="7">
        <f t="shared" si="0"/>
        <v>1</v>
      </c>
      <c r="S54" s="5"/>
    </row>
    <row r="55" spans="1:19" x14ac:dyDescent="0.35">
      <c r="D55" s="2" t="s">
        <v>93</v>
      </c>
      <c r="E55">
        <f>SUM(E2:E54)</f>
        <v>5</v>
      </c>
      <c r="F55">
        <f t="shared" ref="F55:Q55" si="1">SUM(F2:F54)</f>
        <v>7</v>
      </c>
      <c r="G55">
        <f t="shared" si="1"/>
        <v>4</v>
      </c>
      <c r="H55">
        <f t="shared" si="1"/>
        <v>2</v>
      </c>
      <c r="I55">
        <f t="shared" si="1"/>
        <v>9</v>
      </c>
      <c r="J55">
        <f t="shared" si="1"/>
        <v>14</v>
      </c>
      <c r="K55">
        <f t="shared" si="1"/>
        <v>12</v>
      </c>
      <c r="L55">
        <f t="shared" si="1"/>
        <v>11</v>
      </c>
      <c r="M55">
        <f t="shared" si="1"/>
        <v>6</v>
      </c>
      <c r="N55">
        <f t="shared" si="1"/>
        <v>6</v>
      </c>
      <c r="O55">
        <f t="shared" si="1"/>
        <v>9</v>
      </c>
      <c r="P55">
        <f t="shared" si="1"/>
        <v>6</v>
      </c>
      <c r="Q55">
        <f t="shared" si="1"/>
        <v>7</v>
      </c>
      <c r="R55" s="7">
        <f>SUM(E55:Q55)</f>
        <v>98</v>
      </c>
    </row>
  </sheetData>
  <conditionalFormatting sqref="E2:Q54">
    <cfRule type="cellIs" dxfId="9" priority="1" operator="greaterThan">
      <formula>0</formula>
    </cfRule>
  </conditionalFormatting>
  <conditionalFormatting sqref="E55:Q55">
    <cfRule type="cellIs" dxfId="8" priority="2" operator="between">
      <formula>6</formula>
      <formula>9</formula>
    </cfRule>
    <cfRule type="cellIs" dxfId="7" priority="3" operator="lessThan">
      <formula>6</formula>
    </cfRule>
    <cfRule type="cellIs" dxfId="6" priority="4" operator="greaterThan">
      <formula>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1409-B432-4588-B788-E05D1B49D019}">
  <dimension ref="A1:S55"/>
  <sheetViews>
    <sheetView tabSelected="1" zoomScale="80" zoomScaleNormal="80" workbookViewId="0">
      <pane ySplit="1" topLeftCell="A5" activePane="bottomLeft" state="frozen"/>
      <selection pane="bottomLeft" activeCell="K33" sqref="K33"/>
    </sheetView>
  </sheetViews>
  <sheetFormatPr defaultRowHeight="14.5" x14ac:dyDescent="0.35"/>
  <cols>
    <col min="1" max="1" width="8.7265625" style="1"/>
    <col min="2" max="2" width="42.7265625" customWidth="1"/>
    <col min="4" max="4" width="12.90625" style="1" customWidth="1"/>
    <col min="18" max="18" width="13.7265625" style="7" customWidth="1"/>
  </cols>
  <sheetData>
    <row r="1" spans="1:19" s="3" customForma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114</v>
      </c>
      <c r="F1" s="3" t="s">
        <v>113</v>
      </c>
      <c r="G1" s="3" t="s">
        <v>112</v>
      </c>
      <c r="H1" s="3" t="s">
        <v>111</v>
      </c>
      <c r="I1" s="3" t="s">
        <v>110</v>
      </c>
      <c r="J1" s="3" t="s">
        <v>109</v>
      </c>
      <c r="K1" s="3" t="s">
        <v>108</v>
      </c>
      <c r="L1" s="3" t="s">
        <v>107</v>
      </c>
      <c r="M1" s="3" t="s">
        <v>106</v>
      </c>
      <c r="N1" s="3" t="s">
        <v>105</v>
      </c>
      <c r="O1" s="3" t="s">
        <v>104</v>
      </c>
      <c r="P1" s="3" t="s">
        <v>103</v>
      </c>
      <c r="Q1" s="3" t="s">
        <v>102</v>
      </c>
      <c r="R1" s="6" t="s">
        <v>94</v>
      </c>
      <c r="S1" s="4"/>
    </row>
    <row r="2" spans="1:19" x14ac:dyDescent="0.35">
      <c r="A2" s="1">
        <v>1</v>
      </c>
      <c r="B2" t="s">
        <v>17</v>
      </c>
      <c r="C2" t="s">
        <v>18</v>
      </c>
      <c r="S2" s="5"/>
    </row>
    <row r="3" spans="1:19" x14ac:dyDescent="0.35">
      <c r="A3" s="1">
        <v>1.1000000000000001</v>
      </c>
      <c r="B3" t="s">
        <v>19</v>
      </c>
      <c r="C3" t="s">
        <v>18</v>
      </c>
      <c r="E3">
        <v>2</v>
      </c>
      <c r="R3" s="7">
        <f t="shared" ref="R3:R54" si="0">SUM(E3:Q3)</f>
        <v>2</v>
      </c>
      <c r="S3" s="5"/>
    </row>
    <row r="4" spans="1:19" x14ac:dyDescent="0.35">
      <c r="A4" s="1">
        <v>1.2</v>
      </c>
      <c r="B4" t="s">
        <v>20</v>
      </c>
      <c r="C4" t="s">
        <v>18</v>
      </c>
      <c r="D4" s="1">
        <v>1.1000000000000001</v>
      </c>
      <c r="F4">
        <v>2</v>
      </c>
      <c r="R4" s="7">
        <f t="shared" si="0"/>
        <v>2</v>
      </c>
      <c r="S4" s="5"/>
    </row>
    <row r="5" spans="1:19" x14ac:dyDescent="0.35">
      <c r="A5" s="1">
        <v>2</v>
      </c>
      <c r="B5" t="s">
        <v>21</v>
      </c>
      <c r="C5" t="s">
        <v>22</v>
      </c>
      <c r="D5" s="1">
        <v>1</v>
      </c>
      <c r="S5" s="5"/>
    </row>
    <row r="6" spans="1:19" x14ac:dyDescent="0.35">
      <c r="A6" s="1">
        <v>2.1</v>
      </c>
      <c r="B6" t="s">
        <v>23</v>
      </c>
      <c r="C6" t="s">
        <v>22</v>
      </c>
      <c r="D6" s="1">
        <v>1.1000000000000001</v>
      </c>
      <c r="E6">
        <v>3</v>
      </c>
      <c r="R6" s="7">
        <f t="shared" si="0"/>
        <v>3</v>
      </c>
      <c r="S6" s="5"/>
    </row>
    <row r="7" spans="1:19" x14ac:dyDescent="0.35">
      <c r="A7" s="1">
        <v>2.2000000000000002</v>
      </c>
      <c r="B7" t="s">
        <v>24</v>
      </c>
      <c r="C7" t="s">
        <v>22</v>
      </c>
      <c r="D7" s="1">
        <v>2.1</v>
      </c>
      <c r="F7">
        <v>3</v>
      </c>
      <c r="R7" s="7">
        <f t="shared" si="0"/>
        <v>3</v>
      </c>
      <c r="S7" s="5"/>
    </row>
    <row r="8" spans="1:19" x14ac:dyDescent="0.35">
      <c r="A8" s="1">
        <v>2.2999999999999998</v>
      </c>
      <c r="B8" t="s">
        <v>25</v>
      </c>
      <c r="C8" t="s">
        <v>22</v>
      </c>
      <c r="D8" s="1">
        <v>2.1</v>
      </c>
      <c r="F8">
        <v>2</v>
      </c>
      <c r="H8">
        <v>1</v>
      </c>
      <c r="R8" s="7">
        <f t="shared" si="0"/>
        <v>3</v>
      </c>
      <c r="S8" s="5"/>
    </row>
    <row r="9" spans="1:19" x14ac:dyDescent="0.35">
      <c r="A9" s="1">
        <v>2.4</v>
      </c>
      <c r="B9" t="s">
        <v>26</v>
      </c>
      <c r="C9" t="s">
        <v>22</v>
      </c>
      <c r="D9" s="1">
        <v>2.2999999999999998</v>
      </c>
      <c r="G9">
        <v>3</v>
      </c>
      <c r="R9" s="7">
        <f t="shared" si="0"/>
        <v>3</v>
      </c>
      <c r="S9" s="5"/>
    </row>
    <row r="10" spans="1:19" x14ac:dyDescent="0.35">
      <c r="A10" s="1">
        <v>3</v>
      </c>
      <c r="B10" t="s">
        <v>27</v>
      </c>
      <c r="C10" t="s">
        <v>28</v>
      </c>
      <c r="D10" s="1">
        <v>2.2999999999999998</v>
      </c>
      <c r="S10" s="5"/>
    </row>
    <row r="11" spans="1:19" x14ac:dyDescent="0.35">
      <c r="A11" s="1">
        <v>3.1</v>
      </c>
      <c r="B11" t="s">
        <v>29</v>
      </c>
      <c r="C11" t="s">
        <v>28</v>
      </c>
      <c r="D11" s="1">
        <v>2.2999999999999998</v>
      </c>
      <c r="G11">
        <v>1</v>
      </c>
      <c r="H11">
        <v>1</v>
      </c>
      <c r="R11" s="7">
        <f t="shared" si="0"/>
        <v>2</v>
      </c>
      <c r="S11" s="5"/>
    </row>
    <row r="12" spans="1:19" x14ac:dyDescent="0.35">
      <c r="A12" s="1">
        <v>3.2</v>
      </c>
      <c r="B12" t="s">
        <v>30</v>
      </c>
      <c r="C12" t="s">
        <v>28</v>
      </c>
      <c r="D12" s="1">
        <v>3.1</v>
      </c>
      <c r="S12" s="5"/>
    </row>
    <row r="13" spans="1:19" x14ac:dyDescent="0.35">
      <c r="A13" s="1" t="s">
        <v>31</v>
      </c>
      <c r="B13" t="s">
        <v>32</v>
      </c>
      <c r="C13" t="s">
        <v>28</v>
      </c>
      <c r="D13" s="1">
        <v>3.2</v>
      </c>
      <c r="K13">
        <v>2</v>
      </c>
      <c r="R13" s="7">
        <f t="shared" si="0"/>
        <v>2</v>
      </c>
      <c r="S13" s="5"/>
    </row>
    <row r="14" spans="1:19" x14ac:dyDescent="0.35">
      <c r="A14" s="1" t="s">
        <v>33</v>
      </c>
      <c r="B14" t="s">
        <v>34</v>
      </c>
      <c r="C14" t="s">
        <v>28</v>
      </c>
      <c r="D14" s="1" t="s">
        <v>31</v>
      </c>
      <c r="K14">
        <v>1</v>
      </c>
      <c r="R14" s="7">
        <f t="shared" si="0"/>
        <v>1</v>
      </c>
      <c r="S14" s="5"/>
    </row>
    <row r="15" spans="1:19" x14ac:dyDescent="0.35">
      <c r="A15" s="1" t="s">
        <v>35</v>
      </c>
      <c r="B15" t="s">
        <v>36</v>
      </c>
      <c r="C15" t="s">
        <v>28</v>
      </c>
      <c r="D15" s="1" t="s">
        <v>33</v>
      </c>
      <c r="K15">
        <v>1</v>
      </c>
      <c r="R15" s="7">
        <f t="shared" si="0"/>
        <v>1</v>
      </c>
      <c r="S15" s="5"/>
    </row>
    <row r="16" spans="1:19" x14ac:dyDescent="0.35">
      <c r="A16" s="1">
        <v>3.3</v>
      </c>
      <c r="B16" t="s">
        <v>37</v>
      </c>
      <c r="C16" t="s">
        <v>28</v>
      </c>
      <c r="D16" s="1">
        <v>3.1</v>
      </c>
      <c r="S16" s="5"/>
    </row>
    <row r="17" spans="1:19" x14ac:dyDescent="0.35">
      <c r="A17" s="1" t="s">
        <v>38</v>
      </c>
      <c r="B17" t="s">
        <v>39</v>
      </c>
      <c r="C17" t="s">
        <v>28</v>
      </c>
      <c r="D17" s="1">
        <v>3.3</v>
      </c>
      <c r="K17">
        <v>2</v>
      </c>
      <c r="R17" s="7">
        <f t="shared" si="0"/>
        <v>2</v>
      </c>
      <c r="S17" s="5"/>
    </row>
    <row r="18" spans="1:19" x14ac:dyDescent="0.35">
      <c r="A18" s="1" t="s">
        <v>40</v>
      </c>
      <c r="B18" t="s">
        <v>41</v>
      </c>
      <c r="C18" t="s">
        <v>28</v>
      </c>
      <c r="D18" s="1" t="s">
        <v>38</v>
      </c>
      <c r="K18">
        <v>2</v>
      </c>
      <c r="R18" s="7">
        <f t="shared" si="0"/>
        <v>2</v>
      </c>
      <c r="S18" s="5"/>
    </row>
    <row r="19" spans="1:19" x14ac:dyDescent="0.35">
      <c r="A19" s="1" t="s">
        <v>42</v>
      </c>
      <c r="B19" t="s">
        <v>43</v>
      </c>
      <c r="C19" t="s">
        <v>28</v>
      </c>
      <c r="D19" s="1" t="s">
        <v>40</v>
      </c>
      <c r="K19">
        <v>2</v>
      </c>
      <c r="R19" s="7">
        <f t="shared" si="0"/>
        <v>2</v>
      </c>
      <c r="S19" s="5"/>
    </row>
    <row r="20" spans="1:19" x14ac:dyDescent="0.35">
      <c r="A20" s="1">
        <v>3.4</v>
      </c>
      <c r="B20" t="s">
        <v>44</v>
      </c>
      <c r="C20" t="s">
        <v>28</v>
      </c>
      <c r="D20" s="1" t="s">
        <v>42</v>
      </c>
      <c r="S20" s="5"/>
    </row>
    <row r="21" spans="1:19" x14ac:dyDescent="0.35">
      <c r="A21" s="1" t="s">
        <v>45</v>
      </c>
      <c r="B21" t="s">
        <v>46</v>
      </c>
      <c r="C21" t="s">
        <v>28</v>
      </c>
      <c r="D21" s="1" t="s">
        <v>42</v>
      </c>
      <c r="L21">
        <v>1</v>
      </c>
      <c r="R21" s="7">
        <f t="shared" si="0"/>
        <v>1</v>
      </c>
      <c r="S21" s="5"/>
    </row>
    <row r="22" spans="1:19" x14ac:dyDescent="0.35">
      <c r="A22" s="1" t="s">
        <v>47</v>
      </c>
      <c r="B22" t="s">
        <v>48</v>
      </c>
      <c r="C22" t="s">
        <v>28</v>
      </c>
      <c r="D22" s="1" t="s">
        <v>45</v>
      </c>
      <c r="L22">
        <v>3</v>
      </c>
      <c r="R22" s="7">
        <f t="shared" si="0"/>
        <v>3</v>
      </c>
      <c r="S22" s="5"/>
    </row>
    <row r="23" spans="1:19" x14ac:dyDescent="0.35">
      <c r="A23" s="1">
        <v>3.5</v>
      </c>
      <c r="B23" t="s">
        <v>49</v>
      </c>
      <c r="C23" t="s">
        <v>28</v>
      </c>
      <c r="D23" s="1">
        <v>3.3</v>
      </c>
      <c r="S23" s="5"/>
    </row>
    <row r="24" spans="1:19" x14ac:dyDescent="0.35">
      <c r="A24" s="1" t="s">
        <v>50</v>
      </c>
      <c r="B24" t="s">
        <v>51</v>
      </c>
      <c r="C24" t="s">
        <v>28</v>
      </c>
      <c r="D24" s="1">
        <v>3.3</v>
      </c>
      <c r="I24">
        <v>1</v>
      </c>
      <c r="R24" s="7">
        <f t="shared" si="0"/>
        <v>1</v>
      </c>
      <c r="S24" s="5"/>
    </row>
    <row r="25" spans="1:19" x14ac:dyDescent="0.35">
      <c r="A25" s="1" t="s">
        <v>52</v>
      </c>
      <c r="B25" t="s">
        <v>53</v>
      </c>
      <c r="C25" t="s">
        <v>28</v>
      </c>
      <c r="D25" s="1" t="s">
        <v>50</v>
      </c>
      <c r="I25">
        <v>2</v>
      </c>
      <c r="R25" s="7">
        <f t="shared" si="0"/>
        <v>2</v>
      </c>
      <c r="S25" s="5"/>
    </row>
    <row r="26" spans="1:19" x14ac:dyDescent="0.35">
      <c r="A26" s="1" t="s">
        <v>54</v>
      </c>
      <c r="B26" t="s">
        <v>55</v>
      </c>
      <c r="C26" t="s">
        <v>28</v>
      </c>
      <c r="D26" s="1" t="s">
        <v>52</v>
      </c>
      <c r="I26">
        <v>1</v>
      </c>
      <c r="J26">
        <v>1</v>
      </c>
      <c r="R26" s="7">
        <f t="shared" si="0"/>
        <v>2</v>
      </c>
      <c r="S26" s="5"/>
    </row>
    <row r="27" spans="1:19" x14ac:dyDescent="0.35">
      <c r="A27" s="1">
        <v>3.6</v>
      </c>
      <c r="B27" t="s">
        <v>56</v>
      </c>
      <c r="C27" t="s">
        <v>28</v>
      </c>
      <c r="D27" s="1" t="s">
        <v>54</v>
      </c>
      <c r="L27">
        <v>5</v>
      </c>
      <c r="R27" s="7">
        <f>SUM(E27:Q27)</f>
        <v>5</v>
      </c>
      <c r="S27" s="5"/>
    </row>
    <row r="28" spans="1:19" x14ac:dyDescent="0.35">
      <c r="A28" s="1">
        <v>3.7</v>
      </c>
      <c r="B28" t="s">
        <v>57</v>
      </c>
      <c r="C28" t="s">
        <v>58</v>
      </c>
      <c r="D28" s="1">
        <v>3.6</v>
      </c>
      <c r="O28">
        <v>5</v>
      </c>
      <c r="R28" s="7">
        <f t="shared" si="0"/>
        <v>5</v>
      </c>
      <c r="S28" s="5"/>
    </row>
    <row r="29" spans="1:19" x14ac:dyDescent="0.35">
      <c r="A29" s="1">
        <v>4</v>
      </c>
      <c r="B29" t="s">
        <v>59</v>
      </c>
      <c r="C29" t="s">
        <v>60</v>
      </c>
      <c r="S29" s="5"/>
    </row>
    <row r="30" spans="1:19" x14ac:dyDescent="0.35">
      <c r="A30" s="1">
        <v>4.0999999999999996</v>
      </c>
      <c r="B30" t="s">
        <v>61</v>
      </c>
      <c r="C30" t="s">
        <v>60</v>
      </c>
      <c r="D30" s="1">
        <v>3.1</v>
      </c>
      <c r="I30">
        <v>1</v>
      </c>
      <c r="R30" s="7">
        <f t="shared" si="0"/>
        <v>1</v>
      </c>
      <c r="S30" s="5"/>
    </row>
    <row r="31" spans="1:19" x14ac:dyDescent="0.35">
      <c r="A31" s="1">
        <v>4.2</v>
      </c>
      <c r="B31" t="s">
        <v>62</v>
      </c>
      <c r="C31" t="s">
        <v>60</v>
      </c>
      <c r="D31" s="1">
        <v>4.0999999999999996</v>
      </c>
      <c r="M31">
        <v>3</v>
      </c>
      <c r="R31" s="7">
        <f t="shared" si="0"/>
        <v>3</v>
      </c>
      <c r="S31" s="5"/>
    </row>
    <row r="32" spans="1:19" x14ac:dyDescent="0.35">
      <c r="A32" s="1">
        <v>4.3</v>
      </c>
      <c r="B32" t="s">
        <v>63</v>
      </c>
      <c r="C32" t="s">
        <v>60</v>
      </c>
      <c r="D32" s="1">
        <v>4.2</v>
      </c>
      <c r="M32">
        <v>3</v>
      </c>
      <c r="R32" s="7">
        <f t="shared" si="0"/>
        <v>3</v>
      </c>
      <c r="S32" s="5"/>
    </row>
    <row r="33" spans="1:19" x14ac:dyDescent="0.35">
      <c r="A33" s="1">
        <v>4.4000000000000004</v>
      </c>
      <c r="B33" t="s">
        <v>64</v>
      </c>
      <c r="C33" t="s">
        <v>60</v>
      </c>
      <c r="D33" s="1">
        <v>4.3</v>
      </c>
      <c r="I33">
        <v>1</v>
      </c>
      <c r="J33">
        <v>3</v>
      </c>
      <c r="R33" s="7">
        <f t="shared" si="0"/>
        <v>4</v>
      </c>
      <c r="S33" s="5"/>
    </row>
    <row r="34" spans="1:19" x14ac:dyDescent="0.35">
      <c r="A34" s="1">
        <v>4.5</v>
      </c>
      <c r="B34" t="s">
        <v>65</v>
      </c>
      <c r="C34" t="s">
        <v>60</v>
      </c>
      <c r="D34" s="1">
        <v>4.4000000000000004</v>
      </c>
      <c r="J34">
        <v>3</v>
      </c>
      <c r="R34" s="7">
        <f t="shared" si="0"/>
        <v>3</v>
      </c>
      <c r="S34" s="5"/>
    </row>
    <row r="35" spans="1:19" x14ac:dyDescent="0.35">
      <c r="A35" s="1">
        <v>4.5999999999999996</v>
      </c>
      <c r="B35" t="s">
        <v>66</v>
      </c>
      <c r="C35" t="s">
        <v>60</v>
      </c>
      <c r="D35" s="1">
        <v>4.5</v>
      </c>
      <c r="J35">
        <v>1</v>
      </c>
      <c r="R35" s="7">
        <f t="shared" si="0"/>
        <v>1</v>
      </c>
      <c r="S35" s="5"/>
    </row>
    <row r="36" spans="1:19" x14ac:dyDescent="0.35">
      <c r="A36" s="1">
        <v>4.7</v>
      </c>
      <c r="B36" t="s">
        <v>67</v>
      </c>
      <c r="C36" t="s">
        <v>60</v>
      </c>
      <c r="D36" s="1">
        <v>4.5999999999999996</v>
      </c>
      <c r="M36">
        <v>1</v>
      </c>
      <c r="R36" s="7">
        <f t="shared" si="0"/>
        <v>1</v>
      </c>
      <c r="S36" s="5"/>
    </row>
    <row r="37" spans="1:19" x14ac:dyDescent="0.35">
      <c r="A37" s="1">
        <v>4.8</v>
      </c>
      <c r="B37" t="s">
        <v>68</v>
      </c>
      <c r="C37" t="s">
        <v>60</v>
      </c>
      <c r="D37" s="1">
        <v>4.4000000000000004</v>
      </c>
      <c r="M37">
        <v>1</v>
      </c>
      <c r="R37" s="7">
        <f t="shared" si="0"/>
        <v>1</v>
      </c>
      <c r="S37" s="5"/>
    </row>
    <row r="38" spans="1:19" x14ac:dyDescent="0.35">
      <c r="A38" s="1">
        <v>4.9000000000000004</v>
      </c>
      <c r="B38" t="s">
        <v>69</v>
      </c>
      <c r="C38" t="s">
        <v>60</v>
      </c>
      <c r="D38" s="1" t="s">
        <v>70</v>
      </c>
      <c r="M38">
        <v>2</v>
      </c>
      <c r="R38" s="7">
        <f t="shared" si="0"/>
        <v>2</v>
      </c>
      <c r="S38" s="5"/>
    </row>
    <row r="39" spans="1:19" x14ac:dyDescent="0.35">
      <c r="A39" s="1" t="s">
        <v>92</v>
      </c>
      <c r="B39" t="s">
        <v>71</v>
      </c>
      <c r="C39" t="s">
        <v>60</v>
      </c>
      <c r="D39" s="1">
        <v>4.9000000000000004</v>
      </c>
      <c r="M39">
        <v>1</v>
      </c>
      <c r="R39" s="7">
        <f t="shared" si="0"/>
        <v>1</v>
      </c>
      <c r="S39" s="5"/>
    </row>
    <row r="40" spans="1:19" x14ac:dyDescent="0.35">
      <c r="A40" s="1">
        <v>5</v>
      </c>
      <c r="B40" t="s">
        <v>72</v>
      </c>
      <c r="C40" t="s">
        <v>58</v>
      </c>
      <c r="D40" s="1" t="s">
        <v>101</v>
      </c>
      <c r="S40" s="5"/>
    </row>
    <row r="41" spans="1:19" x14ac:dyDescent="0.35">
      <c r="A41" s="1">
        <v>5.0999999999999996</v>
      </c>
      <c r="B41" t="s">
        <v>73</v>
      </c>
      <c r="C41" t="s">
        <v>58</v>
      </c>
      <c r="D41" s="1" t="s">
        <v>74</v>
      </c>
      <c r="N41">
        <v>2</v>
      </c>
      <c r="R41" s="7">
        <f t="shared" si="0"/>
        <v>2</v>
      </c>
      <c r="S41" s="5"/>
    </row>
    <row r="42" spans="1:19" x14ac:dyDescent="0.35">
      <c r="A42" s="1">
        <v>5.2</v>
      </c>
      <c r="B42" t="s">
        <v>75</v>
      </c>
      <c r="C42" t="s">
        <v>58</v>
      </c>
      <c r="D42" s="1" t="s">
        <v>76</v>
      </c>
      <c r="N42">
        <v>1</v>
      </c>
      <c r="R42" s="7">
        <f t="shared" si="0"/>
        <v>1</v>
      </c>
      <c r="S42" s="5"/>
    </row>
    <row r="43" spans="1:19" x14ac:dyDescent="0.35">
      <c r="A43" s="1">
        <v>5.3</v>
      </c>
      <c r="B43" t="s">
        <v>77</v>
      </c>
      <c r="C43" t="s">
        <v>58</v>
      </c>
      <c r="D43" s="1">
        <v>5.2</v>
      </c>
      <c r="N43">
        <v>2</v>
      </c>
      <c r="R43" s="7">
        <f t="shared" si="0"/>
        <v>2</v>
      </c>
      <c r="S43" s="5"/>
    </row>
    <row r="44" spans="1:19" x14ac:dyDescent="0.35">
      <c r="A44" s="1">
        <v>5.4</v>
      </c>
      <c r="B44" t="s">
        <v>78</v>
      </c>
      <c r="C44" t="s">
        <v>58</v>
      </c>
      <c r="D44" s="1">
        <v>5.3</v>
      </c>
      <c r="N44">
        <v>1</v>
      </c>
      <c r="R44" s="7">
        <f t="shared" si="0"/>
        <v>1</v>
      </c>
      <c r="S44" s="5"/>
    </row>
    <row r="45" spans="1:19" x14ac:dyDescent="0.35">
      <c r="A45" s="1">
        <v>5.5</v>
      </c>
      <c r="B45" t="s">
        <v>79</v>
      </c>
      <c r="C45" t="s">
        <v>58</v>
      </c>
      <c r="D45" s="1">
        <v>5.4</v>
      </c>
      <c r="O45">
        <v>2</v>
      </c>
      <c r="R45" s="7">
        <f t="shared" si="0"/>
        <v>2</v>
      </c>
      <c r="S45" s="5"/>
    </row>
    <row r="46" spans="1:19" x14ac:dyDescent="0.35">
      <c r="A46" s="1">
        <v>5.6</v>
      </c>
      <c r="B46" t="s">
        <v>80</v>
      </c>
      <c r="C46" t="s">
        <v>58</v>
      </c>
      <c r="D46" s="1">
        <v>5.5</v>
      </c>
      <c r="O46">
        <v>2</v>
      </c>
      <c r="R46" s="7">
        <f t="shared" si="0"/>
        <v>2</v>
      </c>
      <c r="S46" s="5"/>
    </row>
    <row r="47" spans="1:19" x14ac:dyDescent="0.35">
      <c r="A47" s="1">
        <v>6</v>
      </c>
      <c r="B47" t="s">
        <v>81</v>
      </c>
      <c r="C47" t="s">
        <v>82</v>
      </c>
      <c r="D47" s="1">
        <v>5.6</v>
      </c>
      <c r="S47" s="5"/>
    </row>
    <row r="48" spans="1:19" x14ac:dyDescent="0.35">
      <c r="A48" s="1">
        <v>6.1</v>
      </c>
      <c r="B48" t="s">
        <v>83</v>
      </c>
      <c r="C48" t="s">
        <v>82</v>
      </c>
      <c r="D48" s="1">
        <v>5.6</v>
      </c>
      <c r="P48">
        <v>2</v>
      </c>
      <c r="R48" s="7">
        <f t="shared" si="0"/>
        <v>2</v>
      </c>
      <c r="S48" s="5"/>
    </row>
    <row r="49" spans="1:19" x14ac:dyDescent="0.35">
      <c r="A49" s="1">
        <v>6.2</v>
      </c>
      <c r="B49" t="s">
        <v>84</v>
      </c>
      <c r="C49" t="s">
        <v>82</v>
      </c>
      <c r="D49" s="1">
        <v>6.1</v>
      </c>
      <c r="P49">
        <v>2</v>
      </c>
      <c r="R49" s="7">
        <f t="shared" si="0"/>
        <v>2</v>
      </c>
      <c r="S49" s="5"/>
    </row>
    <row r="50" spans="1:19" x14ac:dyDescent="0.35">
      <c r="A50" s="1">
        <v>6.3</v>
      </c>
      <c r="B50" t="s">
        <v>85</v>
      </c>
      <c r="C50" t="s">
        <v>82</v>
      </c>
      <c r="D50" s="1">
        <v>6.1</v>
      </c>
      <c r="P50">
        <v>2</v>
      </c>
      <c r="R50" s="7">
        <f t="shared" si="0"/>
        <v>2</v>
      </c>
      <c r="S50" s="5"/>
    </row>
    <row r="51" spans="1:19" x14ac:dyDescent="0.35">
      <c r="A51" s="1">
        <v>6.4</v>
      </c>
      <c r="B51" t="s">
        <v>86</v>
      </c>
      <c r="C51" t="s">
        <v>82</v>
      </c>
      <c r="D51" s="1">
        <v>6.1</v>
      </c>
      <c r="Q51">
        <v>2</v>
      </c>
      <c r="R51" s="7">
        <f>SUM(E51:Q51)</f>
        <v>2</v>
      </c>
      <c r="S51" s="5"/>
    </row>
    <row r="52" spans="1:19" x14ac:dyDescent="0.35">
      <c r="A52" s="1">
        <v>6.5</v>
      </c>
      <c r="B52" t="s">
        <v>87</v>
      </c>
      <c r="C52" t="s">
        <v>82</v>
      </c>
      <c r="D52" s="1" t="s">
        <v>88</v>
      </c>
      <c r="Q52">
        <v>4</v>
      </c>
      <c r="R52" s="7">
        <f>SUM(E52:Q52)</f>
        <v>4</v>
      </c>
      <c r="S52" s="5"/>
    </row>
    <row r="53" spans="1:19" x14ac:dyDescent="0.35">
      <c r="A53" s="1">
        <v>6.6</v>
      </c>
      <c r="B53" t="s">
        <v>89</v>
      </c>
      <c r="C53" t="s">
        <v>82</v>
      </c>
      <c r="D53" s="1">
        <v>6.5</v>
      </c>
      <c r="P53">
        <v>6</v>
      </c>
      <c r="R53" s="7">
        <f t="shared" si="0"/>
        <v>6</v>
      </c>
      <c r="S53" s="5"/>
    </row>
    <row r="54" spans="1:19" x14ac:dyDescent="0.35">
      <c r="A54" s="1" t="s">
        <v>90</v>
      </c>
      <c r="B54" t="s">
        <v>91</v>
      </c>
      <c r="C54" t="s">
        <v>82</v>
      </c>
      <c r="D54" s="1">
        <v>4.0999999999999996</v>
      </c>
      <c r="P54">
        <v>1</v>
      </c>
      <c r="R54" s="7">
        <f t="shared" si="0"/>
        <v>1</v>
      </c>
      <c r="S54" s="5"/>
    </row>
    <row r="55" spans="1:19" x14ac:dyDescent="0.35">
      <c r="D55" s="2" t="s">
        <v>93</v>
      </c>
      <c r="E55">
        <f>SUM(E2:E54)</f>
        <v>5</v>
      </c>
      <c r="F55">
        <f t="shared" ref="F55:Q55" si="1">SUM(F2:F54)</f>
        <v>7</v>
      </c>
      <c r="G55">
        <f t="shared" si="1"/>
        <v>4</v>
      </c>
      <c r="H55">
        <f t="shared" si="1"/>
        <v>2</v>
      </c>
      <c r="I55">
        <f t="shared" si="1"/>
        <v>6</v>
      </c>
      <c r="J55">
        <f t="shared" si="1"/>
        <v>8</v>
      </c>
      <c r="K55">
        <f t="shared" si="1"/>
        <v>10</v>
      </c>
      <c r="L55">
        <f t="shared" si="1"/>
        <v>9</v>
      </c>
      <c r="M55">
        <f t="shared" si="1"/>
        <v>11</v>
      </c>
      <c r="N55">
        <f t="shared" si="1"/>
        <v>6</v>
      </c>
      <c r="O55">
        <f t="shared" si="1"/>
        <v>9</v>
      </c>
      <c r="P55">
        <f t="shared" si="1"/>
        <v>13</v>
      </c>
      <c r="Q55">
        <f t="shared" si="1"/>
        <v>6</v>
      </c>
      <c r="R55" s="7">
        <f>SUM(E55:Q55)</f>
        <v>96</v>
      </c>
    </row>
  </sheetData>
  <conditionalFormatting sqref="E2:Q12 E53:Q54 E51:O52 Q51:Q52 E48:N49 P48:Q49 E47:Q47 E45:M46 O45:Q46 E41:L44 N41:Q44 E50:M50 O50:Q50 E27:Q30 E13:I16 E17:H19 L25:Q26 E20:I26 E31:J35 E40:Q40 E36:K39 M34:Q39 L33:Q33 M31:Q32 K13:Q20 K23:Q24 L21:Q22">
    <cfRule type="cellIs" dxfId="5" priority="3" operator="greaterThan">
      <formula>0</formula>
    </cfRule>
  </conditionalFormatting>
  <conditionalFormatting sqref="E55:Q55">
    <cfRule type="cellIs" dxfId="4" priority="4" operator="between">
      <formula>6</formula>
      <formula>9</formula>
    </cfRule>
    <cfRule type="cellIs" dxfId="3" priority="5" operator="lessThan">
      <formula>6</formula>
    </cfRule>
    <cfRule type="cellIs" dxfId="2" priority="6" operator="greaterThan">
      <formula>9</formula>
    </cfRule>
  </conditionalFormatting>
  <conditionalFormatting sqref="J25">
    <cfRule type="cellIs" dxfId="1" priority="2" operator="greaterThan">
      <formula>0</formula>
    </cfRule>
  </conditionalFormatting>
  <conditionalFormatting sqref="J2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work-breakdown-structure</vt:lpstr>
      <vt:lpstr>plan-of-progress-initial</vt:lpstr>
      <vt:lpstr>plan-of-progress-1</vt:lpstr>
      <vt:lpstr>plan-of-progress-2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Kristoffersen</dc:creator>
  <cp:lastModifiedBy>Anders Kristoffersen</cp:lastModifiedBy>
  <dcterms:created xsi:type="dcterms:W3CDTF">2025-10-06T09:43:46Z</dcterms:created>
  <dcterms:modified xsi:type="dcterms:W3CDTF">2025-10-14T09:05:45Z</dcterms:modified>
</cp:coreProperties>
</file>